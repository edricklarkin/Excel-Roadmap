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ebscoind-my.sharepoint.com/personal/elarkin_corp_epnet_com/Documents/Desktop/"/>
    </mc:Choice>
  </mc:AlternateContent>
  <xr:revisionPtr revIDLastSave="1" documentId="8_{7382623A-8735-4589-A220-144FF86D1EEE}" xr6:coauthVersionLast="47" xr6:coauthVersionMax="47" xr10:uidLastSave="{3202976D-0B9A-4CC5-8AEF-73F55E528294}"/>
  <bookViews>
    <workbookView xWindow="-120" yWindow="-120" windowWidth="29040" windowHeight="15840" xr2:uid="{82677175-8D85-42A2-A37E-4887B7F1AA49}"/>
  </bookViews>
  <sheets>
    <sheet name="Instructions" sheetId="3" r:id="rId1"/>
    <sheet name="Input" sheetId="2" r:id="rId2"/>
    <sheet name="Roadmap" sheetId="1" r:id="rId3"/>
    <sheet name="Change Log" sheetId="4" r:id="rId4"/>
  </sheets>
  <definedNames>
    <definedName name="Category">Input!$D$10:$D$200</definedName>
    <definedName name="Color_Code">Input!$I$10:$I$200</definedName>
    <definedName name="Font">Input!$O$8</definedName>
    <definedName name="Input">Input!$A$10:$G$200</definedName>
    <definedName name="SL_Filter">Input!$S$15:$S$34</definedName>
    <definedName name="SL_Input">Input!$O$15:$P$34</definedName>
    <definedName name="SL_Order">Input!$P$15:$P$34</definedName>
    <definedName name="SL_Unique">Input!$O$15:$O$34</definedName>
    <definedName name="SL_Unique_Count">Input!$R$15:$R$34</definedName>
    <definedName name="Swimlane">Input!$E$10:$E$200</definedName>
    <definedName name="SwimNames">Roadmap!$D$7:$D$36</definedName>
    <definedName name="Whole_Roadmap">Roadmap!$E$7:$AB$36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 a="1"/>
  <c r="O15" i="2" s="1"/>
  <c r="R15" i="2" s="1" a="1"/>
  <c r="R15" i="2" s="1"/>
  <c r="S15" i="2" s="1" a="1"/>
  <c r="S15" i="2" s="1"/>
  <c r="I10" i="2" a="1"/>
  <c r="I10" i="2" s="1"/>
  <c r="G38" i="2" l="1"/>
  <c r="G37" i="2"/>
  <c r="G10" i="2"/>
  <c r="G199" i="2"/>
  <c r="G187" i="2"/>
  <c r="G175" i="2"/>
  <c r="G163" i="2"/>
  <c r="G151" i="2"/>
  <c r="G139" i="2"/>
  <c r="G127" i="2"/>
  <c r="G115" i="2"/>
  <c r="G103" i="2"/>
  <c r="G91" i="2"/>
  <c r="G79" i="2"/>
  <c r="G67" i="2"/>
  <c r="G55" i="2"/>
  <c r="G43" i="2"/>
  <c r="G28" i="2"/>
  <c r="G200" i="2"/>
  <c r="G188" i="2"/>
  <c r="G176" i="2"/>
  <c r="G164" i="2"/>
  <c r="G152" i="2"/>
  <c r="G140" i="2"/>
  <c r="G128" i="2"/>
  <c r="G116" i="2"/>
  <c r="G104" i="2"/>
  <c r="G92" i="2"/>
  <c r="G80" i="2"/>
  <c r="G68" i="2"/>
  <c r="G56" i="2"/>
  <c r="G44" i="2"/>
  <c r="G17" i="2"/>
  <c r="G26" i="2"/>
  <c r="G198" i="2"/>
  <c r="G186" i="2"/>
  <c r="G174" i="2"/>
  <c r="G162" i="2"/>
  <c r="G150" i="2"/>
  <c r="G138" i="2"/>
  <c r="G126" i="2"/>
  <c r="G114" i="2"/>
  <c r="G102" i="2"/>
  <c r="G90" i="2"/>
  <c r="G78" i="2"/>
  <c r="G66" i="2"/>
  <c r="G54" i="2"/>
  <c r="G42" i="2"/>
  <c r="G16" i="2"/>
  <c r="G194" i="2"/>
  <c r="G170" i="2"/>
  <c r="G158" i="2"/>
  <c r="G122" i="2"/>
  <c r="G98" i="2"/>
  <c r="G62" i="2"/>
  <c r="G22" i="2"/>
  <c r="G181" i="2"/>
  <c r="G145" i="2"/>
  <c r="G109" i="2"/>
  <c r="G73" i="2"/>
  <c r="G168" i="2"/>
  <c r="G132" i="2"/>
  <c r="G96" i="2"/>
  <c r="G36" i="2"/>
  <c r="G15" i="2"/>
  <c r="G179" i="2"/>
  <c r="G143" i="2"/>
  <c r="G119" i="2"/>
  <c r="G71" i="2"/>
  <c r="G35" i="2"/>
  <c r="G11" i="2"/>
  <c r="G178" i="2"/>
  <c r="G154" i="2"/>
  <c r="G130" i="2"/>
  <c r="G106" i="2"/>
  <c r="G82" i="2"/>
  <c r="G58" i="2"/>
  <c r="G46" i="2"/>
  <c r="G21" i="2"/>
  <c r="G177" i="2"/>
  <c r="G153" i="2"/>
  <c r="G129" i="2"/>
  <c r="G105" i="2"/>
  <c r="G81" i="2"/>
  <c r="G57" i="2"/>
  <c r="G33" i="2"/>
  <c r="G20" i="2"/>
  <c r="G23" i="2"/>
  <c r="G197" i="2"/>
  <c r="G185" i="2"/>
  <c r="G173" i="2"/>
  <c r="G161" i="2"/>
  <c r="G149" i="2"/>
  <c r="G137" i="2"/>
  <c r="G125" i="2"/>
  <c r="G113" i="2"/>
  <c r="G101" i="2"/>
  <c r="G89" i="2"/>
  <c r="G77" i="2"/>
  <c r="G65" i="2"/>
  <c r="G53" i="2"/>
  <c r="G41" i="2"/>
  <c r="G30" i="2"/>
  <c r="G182" i="2"/>
  <c r="G146" i="2"/>
  <c r="G134" i="2"/>
  <c r="G110" i="2"/>
  <c r="G74" i="2"/>
  <c r="G27" i="2"/>
  <c r="G169" i="2"/>
  <c r="G133" i="2"/>
  <c r="G97" i="2"/>
  <c r="G61" i="2"/>
  <c r="G156" i="2"/>
  <c r="G120" i="2"/>
  <c r="G72" i="2"/>
  <c r="G60" i="2"/>
  <c r="G13" i="2"/>
  <c r="G167" i="2"/>
  <c r="G131" i="2"/>
  <c r="G95" i="2"/>
  <c r="G83" i="2"/>
  <c r="G59" i="2"/>
  <c r="G14" i="2"/>
  <c r="G166" i="2"/>
  <c r="G142" i="2"/>
  <c r="G118" i="2"/>
  <c r="G94" i="2"/>
  <c r="G70" i="2"/>
  <c r="G34" i="2"/>
  <c r="G18" i="2"/>
  <c r="G189" i="2"/>
  <c r="G165" i="2"/>
  <c r="G141" i="2"/>
  <c r="G117" i="2"/>
  <c r="G93" i="2"/>
  <c r="G69" i="2"/>
  <c r="G45" i="2"/>
  <c r="G12" i="2"/>
  <c r="G19" i="2"/>
  <c r="G196" i="2"/>
  <c r="G184" i="2"/>
  <c r="G172" i="2"/>
  <c r="G160" i="2"/>
  <c r="G148" i="2"/>
  <c r="G136" i="2"/>
  <c r="G124" i="2"/>
  <c r="G112" i="2"/>
  <c r="G100" i="2"/>
  <c r="G88" i="2"/>
  <c r="G76" i="2"/>
  <c r="G64" i="2"/>
  <c r="G52" i="2"/>
  <c r="G40" i="2"/>
  <c r="G86" i="2"/>
  <c r="G50" i="2"/>
  <c r="G193" i="2"/>
  <c r="G157" i="2"/>
  <c r="G121" i="2"/>
  <c r="G85" i="2"/>
  <c r="G24" i="2"/>
  <c r="G144" i="2"/>
  <c r="G108" i="2"/>
  <c r="G84" i="2"/>
  <c r="G48" i="2"/>
  <c r="G191" i="2"/>
  <c r="G155" i="2"/>
  <c r="G107" i="2"/>
  <c r="G47" i="2"/>
  <c r="G190" i="2"/>
  <c r="G25" i="2"/>
  <c r="G31" i="2"/>
  <c r="G195" i="2"/>
  <c r="G183" i="2"/>
  <c r="G171" i="2"/>
  <c r="G159" i="2"/>
  <c r="G147" i="2"/>
  <c r="G135" i="2"/>
  <c r="G123" i="2"/>
  <c r="G111" i="2"/>
  <c r="G99" i="2"/>
  <c r="G87" i="2"/>
  <c r="G75" i="2"/>
  <c r="G63" i="2"/>
  <c r="G51" i="2"/>
  <c r="G39" i="2"/>
  <c r="G29" i="2"/>
  <c r="G180" i="2"/>
  <c r="G192" i="2"/>
  <c r="G49" i="2"/>
  <c r="G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<sst xmlns="http://schemas.openxmlformats.org/spreadsheetml/2006/main" count="130" uniqueCount="115">
  <si>
    <t>Instructions</t>
  </si>
  <si>
    <t>This template allows users to automate project roadmaps with a little data.</t>
  </si>
  <si>
    <r>
      <t xml:space="preserve">Note: Manual objects (e.g. milestones) are not deleted when the script is rerun. </t>
    </r>
    <r>
      <rPr>
        <sz val="11"/>
        <color theme="1"/>
        <rFont val="Aptos Narrow"/>
        <family val="2"/>
        <scheme val="minor"/>
      </rPr>
      <t>All product plan objects (the rounded rectangles) are deleted when the script is rerun.</t>
    </r>
  </si>
  <si>
    <t>Use Paste Special &gt; Embed</t>
  </si>
  <si>
    <t>Resize as needed to fit slide</t>
  </si>
  <si>
    <t>Replace sample date below with your own project data.</t>
  </si>
  <si>
    <t>Select fill color and text color for each category</t>
  </si>
  <si>
    <t>This will format objects based on catagoy</t>
  </si>
  <si>
    <t>Start PI</t>
  </si>
  <si>
    <t>End PI</t>
  </si>
  <si>
    <t>Row</t>
  </si>
  <si>
    <t>Project Name</t>
  </si>
  <si>
    <t>Category</t>
  </si>
  <si>
    <t>Category Color Code</t>
  </si>
  <si>
    <t>Complete</t>
  </si>
  <si>
    <t>In Progress</t>
  </si>
  <si>
    <t>Max Template Size - Do not exceed</t>
  </si>
  <si>
    <t>FY23</t>
  </si>
  <si>
    <t>FY24</t>
  </si>
  <si>
    <t>FY25</t>
  </si>
  <si>
    <t>FY26</t>
  </si>
  <si>
    <t>FY27</t>
  </si>
  <si>
    <t>FY28</t>
  </si>
  <si>
    <t>PI27</t>
  </si>
  <si>
    <t>PI28</t>
  </si>
  <si>
    <t>PI29</t>
  </si>
  <si>
    <t>PI30</t>
  </si>
  <si>
    <t>PI31</t>
  </si>
  <si>
    <t xml:space="preserve">PI32 </t>
  </si>
  <si>
    <t>PI33</t>
  </si>
  <si>
    <t>PI34</t>
  </si>
  <si>
    <t>PI35</t>
  </si>
  <si>
    <t>PI36</t>
  </si>
  <si>
    <t>PI37</t>
  </si>
  <si>
    <t>PI38</t>
  </si>
  <si>
    <t>PI39</t>
  </si>
  <si>
    <t>PI40</t>
  </si>
  <si>
    <t>PI41</t>
  </si>
  <si>
    <t>PI42</t>
  </si>
  <si>
    <t>PI43</t>
  </si>
  <si>
    <t>PI44</t>
  </si>
  <si>
    <t>PI45</t>
  </si>
  <si>
    <t>PI46</t>
  </si>
  <si>
    <t>PI47</t>
  </si>
  <si>
    <t>PI48</t>
  </si>
  <si>
    <t>PI49</t>
  </si>
  <si>
    <t>PI50</t>
  </si>
  <si>
    <t>Jul-Oct ‘22</t>
  </si>
  <si>
    <t>Oct-Jan ‘23</t>
  </si>
  <si>
    <t>Jan-Apr ‘23</t>
  </si>
  <si>
    <t>Apr-Jul ‘23</t>
  </si>
  <si>
    <t>Jul-Oct ‘23</t>
  </si>
  <si>
    <t>Oct-Jan ‘24</t>
  </si>
  <si>
    <t>Jan-Mar 24</t>
  </si>
  <si>
    <t>Mar-Jun 24</t>
  </si>
  <si>
    <t>Jul-Oct 24</t>
  </si>
  <si>
    <t>Oct-Jan 25</t>
  </si>
  <si>
    <t>Jan-Mar 25</t>
  </si>
  <si>
    <t>Mar-Jun 25</t>
  </si>
  <si>
    <t>Jul-Oct 25</t>
  </si>
  <si>
    <t>Oct-Jan 26</t>
  </si>
  <si>
    <t>Jan-Mar 26</t>
  </si>
  <si>
    <t>Mar-Jun 26</t>
  </si>
  <si>
    <t>Jul-Oct 26</t>
  </si>
  <si>
    <t>Oct-Jan 27</t>
  </si>
  <si>
    <t>Jan-Mar 27</t>
  </si>
  <si>
    <t>Mar-Jun 27</t>
  </si>
  <si>
    <t>Date</t>
  </si>
  <si>
    <t>Notes</t>
  </si>
  <si>
    <t>Version</t>
  </si>
  <si>
    <t>Version 1 POC</t>
  </si>
  <si>
    <t>Added instructions, object formatting, safe deleting</t>
  </si>
  <si>
    <t>Minor changes to formatting</t>
  </si>
  <si>
    <t>Sample</t>
  </si>
  <si>
    <t>Step 8 - Embed into presentation</t>
  </si>
  <si>
    <t>Swimlane</t>
  </si>
  <si>
    <t xml:space="preserve">Font size below is the max size for roadmap items. </t>
  </si>
  <si>
    <t>Update the font and text size of the cell below "Sample"</t>
  </si>
  <si>
    <t>Order</t>
  </si>
  <si>
    <t>SL Order</t>
  </si>
  <si>
    <t>Uni Cnt</t>
  </si>
  <si>
    <t>Filter</t>
  </si>
  <si>
    <t>Select the order of Swimlanes below (max 20)</t>
  </si>
  <si>
    <t>Do not add or delete columns/rows. Only hide columns/rows.</t>
  </si>
  <si>
    <t>Optional if you want to manually assign rows</t>
  </si>
  <si>
    <t>Swimlane 1</t>
  </si>
  <si>
    <t>Feature 1</t>
  </si>
  <si>
    <t>Feature 2</t>
  </si>
  <si>
    <t>Feature 3</t>
  </si>
  <si>
    <t>To Do</t>
  </si>
  <si>
    <t>Swimlane 2</t>
  </si>
  <si>
    <t>Feature 4</t>
  </si>
  <si>
    <t>Step 1 - Make a copy of this template</t>
  </si>
  <si>
    <t>Step 2- Enter your projects</t>
  </si>
  <si>
    <t>Step 3 - Color code your projects based on category</t>
  </si>
  <si>
    <t>Step 4 - Set default font and size</t>
  </si>
  <si>
    <t>Step 5 - Assign Swimlane Order</t>
  </si>
  <si>
    <t>Step 6 - Assign Rows</t>
  </si>
  <si>
    <t>Step 7 - Create Roadmap</t>
  </si>
  <si>
    <t>Step 2 - Enter project date</t>
  </si>
  <si>
    <t>Include starting, ending Pis, project names, and status. Leave rows blank.</t>
  </si>
  <si>
    <t>Input tab column I. Assign fill and text colors to roadmap objects (projects) by category but changing each category's cell fill and text colors.</t>
  </si>
  <si>
    <t>Step 4 - Set the default font and font size for roadmap objects</t>
  </si>
  <si>
    <t>Input tab cell O8. Change the cell font and font size. This will be the maximum font size used.</t>
  </si>
  <si>
    <t>Step 6 -Run Assign Rows</t>
  </si>
  <si>
    <t>This script will fill in row numbers in column F on the input tab.</t>
  </si>
  <si>
    <t>This script will delete any existing roadmap items and build the roadmap on the roadmap tab.</t>
  </si>
  <si>
    <t>Delete data in the order column if needed to start over.</t>
  </si>
  <si>
    <t>Input tab columns A through E. Enter you project data including start &amp; end Pis, project names, categories, and assigned swim lanes.</t>
  </si>
  <si>
    <t>The roadmap script will auto size font down to fit objects on the roadmap.</t>
  </si>
  <si>
    <t>Input tab columns O and P. Assign the order of the swim lines from top (1) to bottom.</t>
  </si>
  <si>
    <t>The script must sort the user provided data. Assigning numbers to swim lanes allows them to other than alphabetical.</t>
  </si>
  <si>
    <t>Column P is data protected so the same swim lane number can only be assigned once.</t>
  </si>
  <si>
    <t>Added setting format and font size to objects. Auto sizing to show all text</t>
  </si>
  <si>
    <t>Added automated sort and roadmap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</si>
</sst>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FFFF"/>
      <name val="Calibri"/>
      <family val="2"/>
    </font>
    <font>
      <sz val="8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E316B"/>
        <bgColor indexed="64"/>
      </patternFill>
    </fill>
    <fill>
      <patternFill patternType="solid">
        <fgColor rgb="FFFBDDA9"/>
        <bgColor indexed="64"/>
      </patternFill>
    </fill>
    <fill>
      <patternFill patternType="solid">
        <fgColor rgb="FFCDD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EBCB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/>
      <bottom style="thin">
        <color rgb="FFFFFFFF"/>
      </bottom>
      <diagonal/>
    </border>
    <border>
      <left style="thin">
        <color theme="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theme="0"/>
      </right>
      <top/>
      <bottom/>
      <diagonal/>
    </border>
    <border>
      <left style="thin">
        <color rgb="FFFFFFFF"/>
      </left>
      <right style="thin">
        <color theme="0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56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0" fillId="5" borderId="0" xfId="0" applyFill="1"/>
    <xf numFmtId="0" fontId="4" fillId="3" borderId="5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0" fillId="8" borderId="6" xfId="0" applyFill="1" applyBorder="1"/>
    <xf numFmtId="0" fontId="0" fillId="7" borderId="6" xfId="0" applyFill="1" applyBorder="1"/>
    <xf numFmtId="0" fontId="1" fillId="0" borderId="0" xfId="0" applyFont="1"/>
    <xf numFmtId="0" fontId="10" fillId="4" borderId="5" xfId="0" applyFont="1" applyFill="1" applyBorder="1" applyAlignment="1">
      <alignment horizontal="center" vertical="center" wrapText="1" readingOrder="1"/>
    </xf>
    <xf numFmtId="43" fontId="1" fillId="0" borderId="0" xfId="1" applyFont="1"/>
    <xf numFmtId="43" fontId="0" fillId="0" borderId="0" xfId="1" applyFont="1"/>
    <xf numFmtId="14" fontId="0" fillId="0" borderId="0" xfId="0" applyNumberFormat="1"/>
    <xf numFmtId="0" fontId="1" fillId="5" borderId="0" xfId="0" applyFont="1" applyFill="1"/>
    <xf numFmtId="0" fontId="7" fillId="5" borderId="0" xfId="0" applyFont="1" applyFill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7" fillId="9" borderId="0" xfId="0" applyFont="1" applyFill="1"/>
    <xf numFmtId="0" fontId="6" fillId="5" borderId="0" xfId="0" applyFont="1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14" fillId="5" borderId="11" xfId="0" applyFont="1" applyFill="1" applyBorder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20" xfId="0" applyFill="1" applyBorder="1"/>
    <xf numFmtId="0" fontId="0" fillId="8" borderId="21" xfId="0" applyFill="1" applyBorder="1"/>
    <xf numFmtId="0" fontId="0" fillId="7" borderId="21" xfId="0" applyFill="1" applyBorder="1"/>
    <xf numFmtId="0" fontId="0" fillId="7" borderId="22" xfId="0" applyFill="1" applyBorder="1"/>
    <xf numFmtId="0" fontId="0" fillId="8" borderId="23" xfId="0" applyFill="1" applyBorder="1"/>
    <xf numFmtId="0" fontId="0" fillId="7" borderId="23" xfId="0" applyFill="1" applyBorder="1"/>
    <xf numFmtId="0" fontId="0" fillId="7" borderId="24" xfId="0" applyFill="1" applyBorder="1"/>
    <xf numFmtId="0" fontId="0" fillId="8" borderId="19" xfId="0" applyFill="1" applyBorder="1"/>
    <xf numFmtId="0" fontId="0" fillId="8" borderId="25" xfId="0" applyFill="1" applyBorder="1"/>
    <xf numFmtId="0" fontId="0" fillId="8" borderId="26" xfId="0" applyFill="1" applyBorder="1"/>
    <xf numFmtId="0" fontId="7" fillId="10" borderId="0" xfId="0" applyFont="1" applyFill="1"/>
    <xf numFmtId="0" fontId="16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5" fillId="6" borderId="27" xfId="0" applyFont="1" applyFill="1" applyBorder="1" applyAlignment="1">
      <alignment horizontal="center" vertical="center" textRotation="90"/>
    </xf>
    <xf numFmtId="0" fontId="5" fillId="6" borderId="27" xfId="0" applyFont="1" applyFill="1" applyBorder="1" applyAlignment="1">
      <alignment horizontal="center" vertical="center" textRotation="90" wrapText="1"/>
    </xf>
    <xf numFmtId="0" fontId="1" fillId="5" borderId="9" xfId="0" applyFont="1" applyFill="1" applyBorder="1" applyAlignment="1">
      <alignment horizontal="center"/>
    </xf>
    <xf numFmtId="0" fontId="1" fillId="5" borderId="9" xfId="0" applyFont="1" applyFill="1" applyBorder="1"/>
    <xf numFmtId="0" fontId="12" fillId="5" borderId="0" xfId="0" applyFont="1" applyFill="1"/>
    <xf numFmtId="0" fontId="11" fillId="5" borderId="0" xfId="0" applyFont="1" applyFill="1"/>
    <xf numFmtId="0" fontId="15" fillId="6" borderId="16" xfId="0" applyFont="1" applyFill="1" applyBorder="1" applyAlignment="1">
      <alignment horizontal="center" vertical="center" textRotation="90"/>
    </xf>
    <xf numFmtId="0" fontId="15" fillId="6" borderId="17" xfId="0" applyFont="1" applyFill="1" applyBorder="1" applyAlignment="1">
      <alignment horizontal="center" vertical="center" textRotation="90"/>
    </xf>
    <xf numFmtId="0" fontId="15" fillId="6" borderId="18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104861"/>
      <color rgb="FFFDE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5</xdr:row>
      <xdr:rowOff>104775</xdr:rowOff>
    </xdr:from>
    <xdr:to>
      <xdr:col>19</xdr:col>
      <xdr:colOff>523875</xdr:colOff>
      <xdr:row>7</xdr:row>
      <xdr:rowOff>15875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BEED75F-CE76-4F19-85D9-52556D5584D9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lYnNjb2luZC1teS5zaGFyZXBvaW50LmNvbS86dTovZy9wZXJzb25hbC9lbGFya2luX2NvcnBfZXBuZXRfY29tL0VZUjlYcFotZFUxSHM3dmsyUXFFR2xvQlVMYU1mcVBKcURYNFBqdlNpa2VuZkE&quot;}"/>
            </a:ext>
          </a:extLst>
        </xdr:cNvPr>
        <xdr:cNvSpPr/>
      </xdr:nvSpPr>
      <xdr:spPr>
        <a:xfrm>
          <a:off x="13525500" y="1057275"/>
          <a:ext cx="1104900" cy="292100"/>
        </a:xfrm>
        <a:prstGeom prst="round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Assign Rows</a:t>
          </a:r>
        </a:p>
      </xdr:txBody>
    </xdr:sp>
    <xdr:clientData/>
  </xdr:twoCellAnchor>
  <xdr:twoCellAnchor>
    <xdr:from>
      <xdr:col>18</xdr:col>
      <xdr:colOff>19050</xdr:colOff>
      <xdr:row>9</xdr:row>
      <xdr:rowOff>123825</xdr:rowOff>
    </xdr:from>
    <xdr:to>
      <xdr:col>20</xdr:col>
      <xdr:colOff>95250</xdr:colOff>
      <xdr:row>11</xdr:row>
      <xdr:rowOff>34925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3BF4BCD-ED8C-404E-BC10-30F63E8E0D27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lYnNjb2luZC1teS5zaGFyZXBvaW50LmNvbS86dTovZy9wZXJzb25hbC9lbGFya2luX2NvcnBfZXBuZXRfY29tL0VjbWhiQmQ5MVM1S21UblNqTG9iZi1FQlNXTk9WYzI4MUtuWUxuc0NXdHhScXc&quot;}"/>
            </a:ext>
          </a:extLst>
        </xdr:cNvPr>
        <xdr:cNvSpPr/>
      </xdr:nvSpPr>
      <xdr:spPr>
        <a:xfrm>
          <a:off x="13515975" y="1876425"/>
          <a:ext cx="1295400" cy="292100"/>
        </a:xfrm>
        <a:prstGeom prst="round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Create Roadmap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16</xdr:col>
      <xdr:colOff>0</xdr:colOff>
      <xdr:row>7</xdr:row>
      <xdr:rowOff>0</xdr:rowOff>
    </xdr:to>
    <xdr:sp macro="" textlink="">
      <xdr:nvSpPr>
        <xdr:cNvPr id="2" name="proj_0">
          <a:extLst>
            <a:ext uri="{FF2B5EF4-FFF2-40B4-BE49-F238E27FC236}">
              <a16:creationId xmlns:a16="http://schemas.microsoft.com/office/drawing/2014/main" id="{B40B3ED1-1615-42FC-AF50-6DDEBAEB1BCF}"/>
            </a:ext>
          </a:extLst>
        </xdr:cNvPr>
        <xdr:cNvSpPr/>
      </xdr:nvSpPr>
      <xdr:spPr>
        <a:xfrm>
          <a:off x="10820400" y="1257300"/>
          <a:ext cx="4533900" cy="457200"/>
        </a:xfrm>
        <a:prstGeom prst="roundRect">
          <a:avLst/>
        </a:prstGeom>
        <a:solidFill>
          <a:srgbClr val="0F9ED5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" tIns="1270" rIns="1270" bIns="1270" rtlCol="0" anchor="ctr">
          <a:noAutofit/>
        </a:bodyPr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Feature 3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3" name="proj_1">
          <a:extLst>
            <a:ext uri="{FF2B5EF4-FFF2-40B4-BE49-F238E27FC236}">
              <a16:creationId xmlns:a16="http://schemas.microsoft.com/office/drawing/2014/main" id="{D34406EF-A139-4A32-A17C-9AF9720A8253}"/>
            </a:ext>
          </a:extLst>
        </xdr:cNvPr>
        <xdr:cNvSpPr/>
      </xdr:nvSpPr>
      <xdr:spPr>
        <a:xfrm>
          <a:off x="13087350" y="1714500"/>
          <a:ext cx="2266950" cy="457200"/>
        </a:xfrm>
        <a:prstGeom prst="roundRect">
          <a:avLst/>
        </a:prstGeom>
        <a:solidFill>
          <a:srgbClr val="0F9ED5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" tIns="1270" rIns="1270" bIns="1270" rtlCol="0" anchor="ctr">
          <a:noAutofit/>
        </a:bodyPr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Feature 4</a:t>
          </a: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" name="proj_2">
          <a:extLst>
            <a:ext uri="{FF2B5EF4-FFF2-40B4-BE49-F238E27FC236}">
              <a16:creationId xmlns:a16="http://schemas.microsoft.com/office/drawing/2014/main" id="{3E0645A9-239F-4A69-8F47-91ACE4C556CD}"/>
            </a:ext>
          </a:extLst>
        </xdr:cNvPr>
        <xdr:cNvSpPr/>
      </xdr:nvSpPr>
      <xdr:spPr>
        <a:xfrm>
          <a:off x="9686925" y="2171700"/>
          <a:ext cx="2266950" cy="457200"/>
        </a:xfrm>
        <a:prstGeom prst="roundRect">
          <a:avLst/>
        </a:prstGeom>
        <a:solidFill>
          <a:srgbClr val="00B050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" tIns="1270" rIns="1270" bIns="1270" rtlCol="0" anchor="ctr">
          <a:noAutofit/>
        </a:bodyPr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"/>
              <a:cs typeface="Arial"/>
            </a:rPr>
            <a:t>Feature 1</a:t>
          </a:r>
        </a:p>
      </xdr:txBody>
    </xdr:sp>
    <xdr:clientData/>
  </xdr:twoCellAnchor>
  <xdr:twoCellAnchor>
    <xdr:from>
      <xdr:col>12</xdr:col>
      <xdr:colOff>0</xdr:colOff>
      <xdr:row>9</xdr:row>
      <xdr:rowOff>0</xdr:rowOff>
    </xdr:from>
    <xdr:to>
      <xdr:col>14</xdr:col>
      <xdr:colOff>0</xdr:colOff>
      <xdr:row>10</xdr:row>
      <xdr:rowOff>0</xdr:rowOff>
    </xdr:to>
    <xdr:sp macro="" textlink="">
      <xdr:nvSpPr>
        <xdr:cNvPr id="5" name="proj_3">
          <a:extLst>
            <a:ext uri="{FF2B5EF4-FFF2-40B4-BE49-F238E27FC236}">
              <a16:creationId xmlns:a16="http://schemas.microsoft.com/office/drawing/2014/main" id="{DEC13DD3-E416-4E69-BA56-ED7305DA75C9}"/>
            </a:ext>
          </a:extLst>
        </xdr:cNvPr>
        <xdr:cNvSpPr/>
      </xdr:nvSpPr>
      <xdr:spPr>
        <a:xfrm>
          <a:off x="10820400" y="2628900"/>
          <a:ext cx="2266950" cy="457200"/>
        </a:xfrm>
        <a:prstGeom prst="roundRect">
          <a:avLst/>
        </a:prstGeom>
        <a:solidFill>
          <a:srgbClr val="FFFF00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" tIns="1270" rIns="1270" bIns="1270" rtlCol="0" anchor="ctr">
          <a:noAutofit/>
        </a:bodyPr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Feature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6FF5-AC7C-4EA4-98B1-EBE232F95D30}">
  <dimension ref="A1:A31"/>
  <sheetViews>
    <sheetView tabSelected="1" workbookViewId="0"/>
  </sheetViews>
  <sheetFormatPr defaultColWidth="0" defaultRowHeight="15" zeroHeight="1" x14ac:dyDescent="0.25"/>
  <cols>
    <col min="1" max="1" width="151.7109375" style="3" bestFit="1" customWidth="1"/>
    <col min="2" max="16" width="9.140625" hidden="1" customWidth="1"/>
    <col min="17" max="16384" width="9.140625" hidden="1"/>
  </cols>
  <sheetData>
    <row r="1" spans="1:1" ht="24" x14ac:dyDescent="0.4">
      <c r="A1" s="48" t="s">
        <v>0</v>
      </c>
    </row>
    <row r="2" spans="1:1" x14ac:dyDescent="0.25">
      <c r="A2" s="3" t="s">
        <v>1</v>
      </c>
    </row>
    <row r="3" spans="1:1" x14ac:dyDescent="0.25"/>
    <row r="4" spans="1:1" x14ac:dyDescent="0.25">
      <c r="A4" s="47" t="s">
        <v>92</v>
      </c>
    </row>
    <row r="5" spans="1:1" x14ac:dyDescent="0.25"/>
    <row r="6" spans="1:1" x14ac:dyDescent="0.25">
      <c r="A6" s="13" t="s">
        <v>99</v>
      </c>
    </row>
    <row r="7" spans="1:1" x14ac:dyDescent="0.25">
      <c r="A7" s="3" t="s">
        <v>108</v>
      </c>
    </row>
    <row r="8" spans="1:1" x14ac:dyDescent="0.25"/>
    <row r="9" spans="1:1" x14ac:dyDescent="0.25">
      <c r="A9" s="13" t="s">
        <v>94</v>
      </c>
    </row>
    <row r="10" spans="1:1" x14ac:dyDescent="0.25">
      <c r="A10" s="3" t="s">
        <v>101</v>
      </c>
    </row>
    <row r="11" spans="1:1" x14ac:dyDescent="0.25"/>
    <row r="12" spans="1:1" x14ac:dyDescent="0.25">
      <c r="A12" s="13" t="s">
        <v>102</v>
      </c>
    </row>
    <row r="13" spans="1:1" x14ac:dyDescent="0.25">
      <c r="A13" s="3" t="s">
        <v>103</v>
      </c>
    </row>
    <row r="14" spans="1:1" x14ac:dyDescent="0.25">
      <c r="A14" s="3" t="s">
        <v>109</v>
      </c>
    </row>
    <row r="15" spans="1:1" x14ac:dyDescent="0.25"/>
    <row r="16" spans="1:1" x14ac:dyDescent="0.25">
      <c r="A16" s="13" t="s">
        <v>96</v>
      </c>
    </row>
    <row r="17" spans="1:1" x14ac:dyDescent="0.25">
      <c r="A17" s="3" t="s">
        <v>110</v>
      </c>
    </row>
    <row r="18" spans="1:1" x14ac:dyDescent="0.25">
      <c r="A18" s="3" t="s">
        <v>111</v>
      </c>
    </row>
    <row r="19" spans="1:1" x14ac:dyDescent="0.25">
      <c r="A19" s="3" t="s">
        <v>112</v>
      </c>
    </row>
    <row r="20" spans="1:1" x14ac:dyDescent="0.25"/>
    <row r="21" spans="1:1" x14ac:dyDescent="0.25">
      <c r="A21" s="13" t="s">
        <v>104</v>
      </c>
    </row>
    <row r="22" spans="1:1" x14ac:dyDescent="0.25">
      <c r="A22" s="3" t="s">
        <v>105</v>
      </c>
    </row>
    <row r="23" spans="1:1" x14ac:dyDescent="0.25"/>
    <row r="24" spans="1:1" x14ac:dyDescent="0.25">
      <c r="A24" s="13" t="s">
        <v>98</v>
      </c>
    </row>
    <row r="25" spans="1:1" x14ac:dyDescent="0.25">
      <c r="A25" s="3" t="s">
        <v>106</v>
      </c>
    </row>
    <row r="26" spans="1:1" x14ac:dyDescent="0.25">
      <c r="A26" s="13" t="s">
        <v>2</v>
      </c>
    </row>
    <row r="27" spans="1:1" x14ac:dyDescent="0.25"/>
    <row r="28" spans="1:1" x14ac:dyDescent="0.25">
      <c r="A28" s="13" t="s">
        <v>74</v>
      </c>
    </row>
    <row r="29" spans="1:1" x14ac:dyDescent="0.25">
      <c r="A29" s="3" t="s">
        <v>3</v>
      </c>
    </row>
    <row r="30" spans="1:1" x14ac:dyDescent="0.25">
      <c r="A30" s="3" t="s">
        <v>4</v>
      </c>
    </row>
    <row r="31" spans="1: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404A-DDC9-4765-90E7-84D42F02BF7E}">
  <dimension ref="A1:Z201"/>
  <sheetViews>
    <sheetView zoomScaleNormal="100" zoomScaleSheetLayoutView="100" workbookViewId="0">
      <selection activeCell="L22" sqref="L22"/>
    </sheetView>
  </sheetViews>
  <sheetFormatPr defaultColWidth="0" defaultRowHeight="15" zeroHeight="1" x14ac:dyDescent="0.25"/>
  <cols>
    <col min="1" max="2" width="9.140625" customWidth="1"/>
    <col min="3" max="3" width="44.85546875" bestFit="1" customWidth="1"/>
    <col min="4" max="4" width="10.85546875" bestFit="1" customWidth="1"/>
    <col min="5" max="6" width="10.85546875" customWidth="1"/>
    <col min="7" max="7" width="10.85546875" style="3" hidden="1" customWidth="1"/>
    <col min="8" max="8" width="3.7109375" customWidth="1"/>
    <col min="9" max="9" width="10.85546875" bestFit="1" customWidth="1"/>
    <col min="10" max="13" width="9.140625" customWidth="1"/>
    <col min="14" max="14" width="4.42578125" customWidth="1"/>
    <col min="15" max="15" width="23.7109375" customWidth="1"/>
    <col min="16" max="23" width="9.140625" customWidth="1"/>
    <col min="24" max="26" width="9.140625" hidden="1" customWidth="1"/>
    <col min="27" max="16384" width="9.140625" hidden="1"/>
  </cols>
  <sheetData>
    <row r="1" spans="1:26" x14ac:dyDescent="0.25">
      <c r="A1" s="3"/>
      <c r="B1" s="3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7" t="s">
        <v>92</v>
      </c>
      <c r="B2" s="3"/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/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3" t="s">
        <v>93</v>
      </c>
      <c r="B4" s="3"/>
      <c r="C4" s="3"/>
      <c r="D4" s="3"/>
      <c r="E4" s="3"/>
      <c r="F4" s="3"/>
      <c r="H4" s="3"/>
      <c r="I4" s="13" t="s">
        <v>94</v>
      </c>
      <c r="J4" s="3"/>
      <c r="K4" s="3"/>
      <c r="L4" s="3"/>
      <c r="M4" s="3"/>
      <c r="N4" s="3"/>
      <c r="O4" s="13" t="s">
        <v>95</v>
      </c>
      <c r="P4" s="3"/>
      <c r="Q4" s="3"/>
      <c r="R4" s="3"/>
      <c r="S4" s="13" t="s">
        <v>97</v>
      </c>
      <c r="T4" s="3"/>
      <c r="V4" s="3"/>
      <c r="W4" s="3"/>
      <c r="X4" s="3"/>
      <c r="Y4" s="3"/>
      <c r="Z4" s="3"/>
    </row>
    <row r="5" spans="1:26" x14ac:dyDescent="0.25">
      <c r="A5" s="3" t="s">
        <v>5</v>
      </c>
      <c r="B5" s="3"/>
      <c r="C5" s="3"/>
      <c r="D5" s="3"/>
      <c r="E5" s="3"/>
      <c r="F5" s="3"/>
      <c r="H5" s="3"/>
      <c r="I5" s="3" t="s">
        <v>6</v>
      </c>
      <c r="J5" s="3"/>
      <c r="K5" s="3"/>
      <c r="L5" s="3"/>
      <c r="M5" s="3"/>
      <c r="N5" s="3"/>
      <c r="O5" s="3" t="s">
        <v>77</v>
      </c>
      <c r="P5" s="3"/>
      <c r="Q5" s="3"/>
      <c r="R5" s="3"/>
      <c r="S5" s="3" t="s">
        <v>84</v>
      </c>
      <c r="T5" s="3"/>
      <c r="U5" s="3"/>
      <c r="V5" s="3"/>
      <c r="W5" s="3"/>
      <c r="X5" s="3"/>
      <c r="Y5" s="3"/>
      <c r="Z5" s="3"/>
    </row>
    <row r="6" spans="1:26" x14ac:dyDescent="0.25">
      <c r="A6" s="3" t="s">
        <v>100</v>
      </c>
      <c r="B6" s="3"/>
      <c r="C6" s="3"/>
      <c r="D6" s="3"/>
      <c r="E6" s="3"/>
      <c r="F6" s="3"/>
      <c r="H6" s="3"/>
      <c r="I6" s="3" t="s">
        <v>7</v>
      </c>
      <c r="J6" s="3"/>
      <c r="K6" s="3"/>
      <c r="L6" s="3"/>
      <c r="M6" s="3"/>
      <c r="N6" s="3"/>
      <c r="O6" s="3" t="s">
        <v>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x14ac:dyDescent="0.25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25" t="s">
        <v>73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8" customFormat="1" x14ac:dyDescent="0.25">
      <c r="A9" s="45" t="s">
        <v>8</v>
      </c>
      <c r="B9" s="45" t="s">
        <v>9</v>
      </c>
      <c r="C9" s="46" t="s">
        <v>11</v>
      </c>
      <c r="D9" s="45" t="s">
        <v>12</v>
      </c>
      <c r="E9" s="45" t="s">
        <v>75</v>
      </c>
      <c r="F9" s="45" t="s">
        <v>10</v>
      </c>
      <c r="G9" s="13" t="s">
        <v>79</v>
      </c>
      <c r="H9" s="13"/>
      <c r="I9" s="13" t="s">
        <v>13</v>
      </c>
      <c r="J9" s="13"/>
      <c r="K9" s="13"/>
      <c r="L9" s="13"/>
      <c r="M9" s="13"/>
      <c r="N9" s="13"/>
      <c r="O9" s="13"/>
      <c r="P9" s="13"/>
      <c r="Q9" s="13"/>
      <c r="R9" s="13"/>
      <c r="S9" s="13" t="s">
        <v>98</v>
      </c>
      <c r="T9" s="13"/>
      <c r="U9" s="13"/>
      <c r="V9" s="13"/>
      <c r="W9" s="13"/>
      <c r="X9" s="13"/>
      <c r="Y9" s="13"/>
      <c r="Z9" s="13"/>
    </row>
    <row r="10" spans="1:26" x14ac:dyDescent="0.25">
      <c r="A10" s="20">
        <v>35</v>
      </c>
      <c r="B10">
        <v>38</v>
      </c>
      <c r="C10" t="s">
        <v>88</v>
      </c>
      <c r="D10" t="s">
        <v>89</v>
      </c>
      <c r="E10" t="s">
        <v>90</v>
      </c>
      <c r="F10" s="21">
        <v>1</v>
      </c>
      <c r="G10" s="3">
        <f t="shared" ref="G10:G41" si="0">IFERROR(VLOOKUP(E10,SL_Input,2,FALSE),"")</f>
        <v>1</v>
      </c>
      <c r="H10" s="3"/>
      <c r="I10" s="38" t="str" cm="1">
        <f t="array" ref="I10:I12">_xlfn._xlws.SORT(_xlfn.UNIQUE(_xlfn._xlws.FILTER(Category,LEN(Category))))</f>
        <v>Complete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0">
        <v>37</v>
      </c>
      <c r="B11">
        <v>38</v>
      </c>
      <c r="C11" t="s">
        <v>91</v>
      </c>
      <c r="D11" t="s">
        <v>89</v>
      </c>
      <c r="E11" t="s">
        <v>90</v>
      </c>
      <c r="F11" s="21">
        <v>2</v>
      </c>
      <c r="G11" s="3">
        <f t="shared" si="0"/>
        <v>1</v>
      </c>
      <c r="H11" s="3"/>
      <c r="I11" s="39" t="str">
        <v>In Progress</v>
      </c>
      <c r="J11" s="3"/>
      <c r="K11" s="3"/>
      <c r="L11" s="3"/>
      <c r="M11" s="3"/>
      <c r="N11" s="3"/>
      <c r="O11" s="13" t="s">
        <v>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0">
        <v>34</v>
      </c>
      <c r="B12">
        <v>35</v>
      </c>
      <c r="C12" t="s">
        <v>86</v>
      </c>
      <c r="D12" t="s">
        <v>14</v>
      </c>
      <c r="E12" t="s">
        <v>85</v>
      </c>
      <c r="F12" s="21">
        <v>3</v>
      </c>
      <c r="G12" s="3">
        <f t="shared" si="0"/>
        <v>2</v>
      </c>
      <c r="H12" s="3"/>
      <c r="I12" s="18" t="str">
        <v>To Do</v>
      </c>
      <c r="J12" s="3"/>
      <c r="K12" s="3"/>
      <c r="L12" s="3"/>
      <c r="M12" s="3"/>
      <c r="N12" s="3"/>
      <c r="O12" s="3" t="s">
        <v>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0">
        <v>35</v>
      </c>
      <c r="B13">
        <v>36</v>
      </c>
      <c r="C13" t="s">
        <v>87</v>
      </c>
      <c r="D13" t="s">
        <v>15</v>
      </c>
      <c r="E13" t="s">
        <v>85</v>
      </c>
      <c r="F13" s="21">
        <v>4</v>
      </c>
      <c r="G13" s="3">
        <f t="shared" si="0"/>
        <v>2</v>
      </c>
      <c r="H13" s="3"/>
      <c r="I13" s="40"/>
      <c r="J13" s="3"/>
      <c r="K13" s="3"/>
      <c r="L13" s="3"/>
      <c r="M13" s="3"/>
      <c r="N13" s="3"/>
      <c r="O13" s="3" t="s">
        <v>107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0"/>
      <c r="F14" s="21"/>
      <c r="G14" s="3" t="str">
        <f t="shared" si="0"/>
        <v/>
      </c>
      <c r="H14" s="3"/>
      <c r="I14" s="41"/>
      <c r="J14" s="3"/>
      <c r="K14" s="3"/>
      <c r="L14" s="3"/>
      <c r="M14" s="3"/>
      <c r="N14" s="3"/>
      <c r="O14" s="13" t="s">
        <v>75</v>
      </c>
      <c r="P14" s="13" t="s">
        <v>78</v>
      </c>
      <c r="Q14" s="14"/>
      <c r="R14" s="14" t="s">
        <v>80</v>
      </c>
      <c r="S14" s="14" t="s">
        <v>81</v>
      </c>
      <c r="T14" s="3"/>
      <c r="U14" s="3"/>
      <c r="V14" s="3"/>
      <c r="W14" s="3"/>
      <c r="X14" s="3"/>
      <c r="Y14" s="3"/>
      <c r="Z14" s="3"/>
    </row>
    <row r="15" spans="1:26" x14ac:dyDescent="0.25">
      <c r="A15" s="20"/>
      <c r="F15" s="21"/>
      <c r="G15" s="3" t="str">
        <f t="shared" si="0"/>
        <v/>
      </c>
      <c r="H15" s="3"/>
      <c r="I15" s="42"/>
      <c r="J15" s="3"/>
      <c r="K15" s="3"/>
      <c r="L15" s="3"/>
      <c r="M15" s="3"/>
      <c r="N15" s="3"/>
      <c r="O15" s="15" t="str" cm="1">
        <f t="array" ref="O15:O16">_xlfn._xlws.SORT(_xlfn.UNIQUE(_xlfn._xlws.FILTER(Swimlane,LEN(Swimlane))))</f>
        <v>Swimlane 1</v>
      </c>
      <c r="P15" s="15">
        <v>2</v>
      </c>
      <c r="Q15" s="14"/>
      <c r="R15" s="14" cm="1">
        <f t="array" ref="R15:R16">_xlfn.SEQUENCE(COUNTA(SL_Unique))</f>
        <v>1</v>
      </c>
      <c r="S15" s="14" cm="1">
        <f t="array" ref="S15:S32">_xlfn._xlws.FILTER(SL_Unique_Count,ISERROR(MATCH(SL_Unique_Count,SL_Order,0)))</f>
        <v>0</v>
      </c>
      <c r="T15" s="3"/>
      <c r="U15" s="3"/>
      <c r="V15" s="3"/>
      <c r="W15" s="3"/>
      <c r="X15" s="3"/>
      <c r="Y15" s="3"/>
      <c r="Z15" s="3"/>
    </row>
    <row r="16" spans="1:26" x14ac:dyDescent="0.25">
      <c r="A16" s="20"/>
      <c r="F16" s="21"/>
      <c r="G16" s="3" t="str">
        <f t="shared" si="0"/>
        <v/>
      </c>
      <c r="H16" s="3"/>
      <c r="I16" s="3"/>
      <c r="J16" s="3"/>
      <c r="K16" s="3"/>
      <c r="L16" s="3"/>
      <c r="M16" s="3"/>
      <c r="N16" s="3"/>
      <c r="O16" s="16" t="str">
        <v>Swimlane 2</v>
      </c>
      <c r="P16" s="16">
        <v>1</v>
      </c>
      <c r="Q16" s="14"/>
      <c r="R16" s="14">
        <v>2</v>
      </c>
      <c r="S16" s="14">
        <v>0</v>
      </c>
      <c r="T16" s="3"/>
      <c r="U16" s="3"/>
      <c r="V16" s="3"/>
      <c r="W16" s="3"/>
      <c r="X16" s="3"/>
      <c r="Y16" s="3"/>
      <c r="Z16" s="3"/>
    </row>
    <row r="17" spans="1:26" x14ac:dyDescent="0.25">
      <c r="A17" s="20"/>
      <c r="F17" s="21"/>
      <c r="G17" s="3" t="str">
        <f t="shared" si="0"/>
        <v/>
      </c>
      <c r="H17" s="3"/>
      <c r="I17" s="3"/>
      <c r="J17" s="3"/>
      <c r="K17" s="3"/>
      <c r="L17" s="3"/>
      <c r="M17" s="3"/>
      <c r="N17" s="3"/>
      <c r="O17" s="16"/>
      <c r="P17" s="16"/>
      <c r="Q17" s="14"/>
      <c r="R17" s="14"/>
      <c r="S17" s="14">
        <v>0</v>
      </c>
      <c r="T17" s="3"/>
      <c r="U17" s="3"/>
      <c r="V17" s="3"/>
      <c r="W17" s="3"/>
      <c r="X17" s="3"/>
      <c r="Y17" s="3"/>
      <c r="Z17" s="3"/>
    </row>
    <row r="18" spans="1:26" x14ac:dyDescent="0.25">
      <c r="A18" s="20"/>
      <c r="F18" s="21"/>
      <c r="G18" s="3" t="str">
        <f t="shared" si="0"/>
        <v/>
      </c>
      <c r="H18" s="3"/>
      <c r="I18" s="3"/>
      <c r="J18" s="3"/>
      <c r="K18" s="3"/>
      <c r="L18" s="3"/>
      <c r="M18" s="3"/>
      <c r="N18" s="3"/>
      <c r="O18" s="16"/>
      <c r="P18" s="16"/>
      <c r="Q18" s="14"/>
      <c r="R18" s="14"/>
      <c r="S18" s="14">
        <v>0</v>
      </c>
      <c r="T18" s="3"/>
      <c r="U18" s="3"/>
      <c r="V18" s="3"/>
      <c r="W18" s="3"/>
      <c r="X18" s="3"/>
      <c r="Y18" s="3"/>
      <c r="Z18" s="3"/>
    </row>
    <row r="19" spans="1:26" x14ac:dyDescent="0.25">
      <c r="A19" s="20"/>
      <c r="F19" s="21"/>
      <c r="G19" s="3" t="str">
        <f t="shared" si="0"/>
        <v/>
      </c>
      <c r="H19" s="3"/>
      <c r="I19" s="3"/>
      <c r="J19" s="3"/>
      <c r="K19" s="3"/>
      <c r="L19" s="3"/>
      <c r="M19" s="3"/>
      <c r="N19" s="3"/>
      <c r="O19" s="16"/>
      <c r="P19" s="16"/>
      <c r="Q19" s="14"/>
      <c r="R19" s="14"/>
      <c r="S19" s="14">
        <v>0</v>
      </c>
      <c r="T19" s="3"/>
      <c r="U19" s="3"/>
      <c r="V19" s="3"/>
      <c r="W19" s="3"/>
      <c r="X19" s="3"/>
      <c r="Y19" s="3"/>
      <c r="Z19" s="3"/>
    </row>
    <row r="20" spans="1:26" x14ac:dyDescent="0.25">
      <c r="A20" s="20"/>
      <c r="F20" s="21"/>
      <c r="G20" s="3" t="str">
        <f t="shared" si="0"/>
        <v/>
      </c>
      <c r="H20" s="3"/>
      <c r="I20" s="3"/>
      <c r="J20" s="3"/>
      <c r="K20" s="3"/>
      <c r="L20" s="3"/>
      <c r="M20" s="3"/>
      <c r="N20" s="3"/>
      <c r="O20" s="16"/>
      <c r="P20" s="16"/>
      <c r="Q20" s="14"/>
      <c r="R20" s="14"/>
      <c r="S20" s="14">
        <v>0</v>
      </c>
      <c r="T20" s="3"/>
      <c r="U20" s="3"/>
      <c r="V20" s="3"/>
      <c r="W20" s="3"/>
      <c r="X20" s="3"/>
      <c r="Y20" s="3"/>
      <c r="Z20" s="3"/>
    </row>
    <row r="21" spans="1:26" x14ac:dyDescent="0.25">
      <c r="A21" s="20"/>
      <c r="F21" s="21"/>
      <c r="G21" s="3" t="str">
        <f t="shared" si="0"/>
        <v/>
      </c>
      <c r="H21" s="3"/>
      <c r="I21" s="3"/>
      <c r="J21" s="3"/>
      <c r="K21" s="3"/>
      <c r="L21" s="3"/>
      <c r="M21" s="3"/>
      <c r="N21" s="3"/>
      <c r="O21" s="16"/>
      <c r="P21" s="16"/>
      <c r="Q21" s="14"/>
      <c r="R21" s="14"/>
      <c r="S21" s="14">
        <v>0</v>
      </c>
      <c r="T21" s="3"/>
      <c r="U21" s="3"/>
      <c r="V21" s="3"/>
      <c r="W21" s="3"/>
      <c r="X21" s="3"/>
      <c r="Y21" s="3"/>
      <c r="Z21" s="3"/>
    </row>
    <row r="22" spans="1:26" x14ac:dyDescent="0.25">
      <c r="A22" s="20"/>
      <c r="F22" s="21"/>
      <c r="G22" s="3" t="str">
        <f t="shared" si="0"/>
        <v/>
      </c>
      <c r="H22" s="3"/>
      <c r="I22" s="3"/>
      <c r="J22" s="3"/>
      <c r="K22" s="3"/>
      <c r="L22" s="3"/>
      <c r="M22" s="3"/>
      <c r="N22" s="3"/>
      <c r="O22" s="16"/>
      <c r="P22" s="16"/>
      <c r="Q22" s="14"/>
      <c r="R22" s="14"/>
      <c r="S22" s="14">
        <v>0</v>
      </c>
      <c r="T22" s="3"/>
      <c r="U22" s="3"/>
      <c r="V22" s="3"/>
      <c r="W22" s="3"/>
      <c r="X22" s="3"/>
      <c r="Y22" s="3"/>
      <c r="Z22" s="3"/>
    </row>
    <row r="23" spans="1:26" x14ac:dyDescent="0.25">
      <c r="A23" s="20"/>
      <c r="F23" s="21"/>
      <c r="G23" s="3" t="str">
        <f t="shared" si="0"/>
        <v/>
      </c>
      <c r="H23" s="3"/>
      <c r="I23" s="3"/>
      <c r="J23" s="3"/>
      <c r="K23" s="3"/>
      <c r="L23" s="3"/>
      <c r="M23" s="3"/>
      <c r="N23" s="3"/>
      <c r="O23" s="16"/>
      <c r="P23" s="16"/>
      <c r="Q23" s="14"/>
      <c r="R23" s="14"/>
      <c r="S23" s="14">
        <v>0</v>
      </c>
      <c r="T23" s="3"/>
      <c r="U23" s="3"/>
      <c r="V23" s="3"/>
      <c r="W23" s="3"/>
      <c r="X23" s="3"/>
      <c r="Y23" s="3"/>
      <c r="Z23" s="3"/>
    </row>
    <row r="24" spans="1:26" x14ac:dyDescent="0.25">
      <c r="A24" s="20"/>
      <c r="F24" s="21"/>
      <c r="G24" s="3" t="str">
        <f t="shared" si="0"/>
        <v/>
      </c>
      <c r="H24" s="3"/>
      <c r="I24" s="3"/>
      <c r="J24" s="3"/>
      <c r="K24" s="3"/>
      <c r="L24" s="3"/>
      <c r="M24" s="3"/>
      <c r="N24" s="3"/>
      <c r="O24" s="16"/>
      <c r="P24" s="16"/>
      <c r="Q24" s="14"/>
      <c r="R24" s="14"/>
      <c r="S24" s="14">
        <v>0</v>
      </c>
      <c r="T24" s="3"/>
      <c r="U24" s="3"/>
      <c r="V24" s="3"/>
      <c r="W24" s="3"/>
      <c r="X24" s="3"/>
      <c r="Y24" s="3"/>
      <c r="Z24" s="3"/>
    </row>
    <row r="25" spans="1:26" x14ac:dyDescent="0.25">
      <c r="A25" s="20"/>
      <c r="F25" s="21"/>
      <c r="G25" s="3" t="str">
        <f t="shared" si="0"/>
        <v/>
      </c>
      <c r="H25" s="3"/>
      <c r="I25" s="3"/>
      <c r="J25" s="3"/>
      <c r="K25" s="3"/>
      <c r="L25" s="3"/>
      <c r="M25" s="3"/>
      <c r="N25" s="3"/>
      <c r="O25" s="16"/>
      <c r="P25" s="16"/>
      <c r="Q25" s="14"/>
      <c r="R25" s="14"/>
      <c r="S25" s="14">
        <v>0</v>
      </c>
      <c r="T25" s="3"/>
      <c r="U25" s="3"/>
      <c r="V25" s="3"/>
      <c r="W25" s="3"/>
      <c r="X25" s="3"/>
      <c r="Y25" s="3"/>
      <c r="Z25" s="3"/>
    </row>
    <row r="26" spans="1:26" x14ac:dyDescent="0.25">
      <c r="A26" s="20"/>
      <c r="F26" s="21"/>
      <c r="G26" s="3" t="str">
        <f t="shared" si="0"/>
        <v/>
      </c>
      <c r="H26" s="3"/>
      <c r="I26" s="3"/>
      <c r="J26" s="3"/>
      <c r="K26" s="3"/>
      <c r="L26" s="3"/>
      <c r="M26" s="3"/>
      <c r="N26" s="3"/>
      <c r="O26" s="16"/>
      <c r="P26" s="16"/>
      <c r="Q26" s="14"/>
      <c r="R26" s="14"/>
      <c r="S26" s="14">
        <v>0</v>
      </c>
      <c r="T26" s="3"/>
      <c r="U26" s="3"/>
      <c r="V26" s="3"/>
      <c r="W26" s="3"/>
      <c r="X26" s="3"/>
      <c r="Y26" s="3"/>
      <c r="Z26" s="3"/>
    </row>
    <row r="27" spans="1:26" x14ac:dyDescent="0.25">
      <c r="A27" s="20"/>
      <c r="F27" s="21"/>
      <c r="G27" s="3" t="str">
        <f t="shared" si="0"/>
        <v/>
      </c>
      <c r="H27" s="3"/>
      <c r="I27" s="3"/>
      <c r="J27" s="3"/>
      <c r="K27" s="3"/>
      <c r="L27" s="3"/>
      <c r="M27" s="3"/>
      <c r="N27" s="3"/>
      <c r="O27" s="16"/>
      <c r="P27" s="16"/>
      <c r="Q27" s="14"/>
      <c r="R27" s="14"/>
      <c r="S27" s="14">
        <v>0</v>
      </c>
      <c r="T27" s="3"/>
      <c r="U27" s="3"/>
      <c r="V27" s="3"/>
      <c r="W27" s="3"/>
      <c r="X27" s="3"/>
      <c r="Y27" s="3"/>
      <c r="Z27" s="3"/>
    </row>
    <row r="28" spans="1:26" x14ac:dyDescent="0.25">
      <c r="A28" s="20"/>
      <c r="F28" s="21"/>
      <c r="G28" s="3" t="str">
        <f t="shared" si="0"/>
        <v/>
      </c>
      <c r="H28" s="3"/>
      <c r="I28" s="3"/>
      <c r="J28" s="3"/>
      <c r="K28" s="3"/>
      <c r="L28" s="3"/>
      <c r="M28" s="3"/>
      <c r="N28" s="3"/>
      <c r="O28" s="16"/>
      <c r="P28" s="16"/>
      <c r="Q28" s="14"/>
      <c r="R28" s="14"/>
      <c r="S28" s="14">
        <v>0</v>
      </c>
      <c r="T28" s="3"/>
      <c r="U28" s="3"/>
      <c r="V28" s="3"/>
      <c r="W28" s="3"/>
      <c r="X28" s="3"/>
      <c r="Y28" s="3"/>
      <c r="Z28" s="3"/>
    </row>
    <row r="29" spans="1:26" x14ac:dyDescent="0.25">
      <c r="A29" s="20"/>
      <c r="F29" s="21"/>
      <c r="G29" s="3" t="str">
        <f t="shared" si="0"/>
        <v/>
      </c>
      <c r="H29" s="3"/>
      <c r="I29" s="3"/>
      <c r="J29" s="3"/>
      <c r="K29" s="3"/>
      <c r="L29" s="3"/>
      <c r="M29" s="3"/>
      <c r="N29" s="3"/>
      <c r="O29" s="16"/>
      <c r="P29" s="16"/>
      <c r="Q29" s="14"/>
      <c r="R29" s="14"/>
      <c r="S29" s="14">
        <v>0</v>
      </c>
      <c r="T29" s="3"/>
      <c r="U29" s="3"/>
      <c r="V29" s="3"/>
      <c r="W29" s="3"/>
      <c r="X29" s="3"/>
      <c r="Y29" s="3"/>
      <c r="Z29" s="3"/>
    </row>
    <row r="30" spans="1:26" x14ac:dyDescent="0.25">
      <c r="A30" s="20"/>
      <c r="F30" s="21"/>
      <c r="G30" s="3" t="str">
        <f t="shared" si="0"/>
        <v/>
      </c>
      <c r="H30" s="3"/>
      <c r="I30" s="3"/>
      <c r="J30" s="3"/>
      <c r="K30" s="3"/>
      <c r="L30" s="3"/>
      <c r="M30" s="3"/>
      <c r="N30" s="3"/>
      <c r="O30" s="16"/>
      <c r="P30" s="16"/>
      <c r="Q30" s="14"/>
      <c r="R30" s="14"/>
      <c r="S30" s="14">
        <v>0</v>
      </c>
      <c r="T30" s="3"/>
      <c r="U30" s="3"/>
      <c r="V30" s="3"/>
      <c r="W30" s="3"/>
      <c r="X30" s="3"/>
      <c r="Y30" s="3"/>
      <c r="Z30" s="3"/>
    </row>
    <row r="31" spans="1:26" x14ac:dyDescent="0.25">
      <c r="A31" s="20"/>
      <c r="F31" s="21"/>
      <c r="G31" s="3" t="str">
        <f t="shared" si="0"/>
        <v/>
      </c>
      <c r="H31" s="3"/>
      <c r="I31" s="3"/>
      <c r="J31" s="3"/>
      <c r="K31" s="3"/>
      <c r="L31" s="3"/>
      <c r="M31" s="3"/>
      <c r="N31" s="3"/>
      <c r="O31" s="16"/>
      <c r="P31" s="16"/>
      <c r="Q31" s="14"/>
      <c r="R31" s="14"/>
      <c r="S31" s="14">
        <v>0</v>
      </c>
      <c r="T31" s="3"/>
      <c r="U31" s="3"/>
      <c r="V31" s="3"/>
      <c r="W31" s="3"/>
      <c r="X31" s="3"/>
      <c r="Y31" s="3"/>
      <c r="Z31" s="3"/>
    </row>
    <row r="32" spans="1:26" x14ac:dyDescent="0.25">
      <c r="A32" s="20"/>
      <c r="F32" s="21"/>
      <c r="G32" s="3" t="str">
        <f t="shared" si="0"/>
        <v/>
      </c>
      <c r="H32" s="3"/>
      <c r="I32" s="3"/>
      <c r="J32" s="3"/>
      <c r="K32" s="3"/>
      <c r="L32" s="3"/>
      <c r="M32" s="3"/>
      <c r="N32" s="3"/>
      <c r="O32" s="16"/>
      <c r="P32" s="16"/>
      <c r="Q32" s="14"/>
      <c r="R32" s="14"/>
      <c r="S32" s="14">
        <v>0</v>
      </c>
      <c r="T32" s="3"/>
      <c r="U32" s="3"/>
      <c r="V32" s="3"/>
      <c r="W32" s="3"/>
      <c r="X32" s="3"/>
      <c r="Y32" s="3"/>
      <c r="Z32" s="3"/>
    </row>
    <row r="33" spans="1:26" x14ac:dyDescent="0.25">
      <c r="A33" s="20"/>
      <c r="F33" s="21"/>
      <c r="G33" s="3" t="str">
        <f t="shared" si="0"/>
        <v/>
      </c>
      <c r="H33" s="3"/>
      <c r="I33" s="3"/>
      <c r="J33" s="3"/>
      <c r="K33" s="3"/>
      <c r="L33" s="3"/>
      <c r="M33" s="3"/>
      <c r="N33" s="3"/>
      <c r="O33" s="16"/>
      <c r="P33" s="16"/>
      <c r="Q33" s="14"/>
      <c r="R33" s="14"/>
      <c r="S33" s="14"/>
      <c r="T33" s="3"/>
      <c r="U33" s="3"/>
      <c r="V33" s="3"/>
      <c r="W33" s="3"/>
      <c r="X33" s="3"/>
      <c r="Y33" s="3"/>
      <c r="Z33" s="3"/>
    </row>
    <row r="34" spans="1:26" x14ac:dyDescent="0.25">
      <c r="A34" s="20"/>
      <c r="F34" s="21"/>
      <c r="G34" s="3" t="str">
        <f t="shared" si="0"/>
        <v/>
      </c>
      <c r="H34" s="3"/>
      <c r="I34" s="3"/>
      <c r="J34" s="3"/>
      <c r="K34" s="3"/>
      <c r="L34" s="3"/>
      <c r="M34" s="3"/>
      <c r="N34" s="3"/>
      <c r="O34" s="17"/>
      <c r="P34" s="17"/>
      <c r="Q34" s="14"/>
      <c r="R34" s="14"/>
      <c r="S34" s="14"/>
      <c r="T34" s="3"/>
      <c r="U34" s="3"/>
      <c r="V34" s="3"/>
      <c r="W34" s="3"/>
      <c r="X34" s="3"/>
      <c r="Y34" s="3"/>
      <c r="Z34" s="3"/>
    </row>
    <row r="35" spans="1:26" x14ac:dyDescent="0.25">
      <c r="A35" s="20"/>
      <c r="F35" s="21"/>
      <c r="G35" s="3" t="str">
        <f t="shared" si="0"/>
        <v/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0"/>
      <c r="F36" s="21"/>
      <c r="G36" s="3" t="str">
        <f t="shared" si="0"/>
        <v/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0"/>
      <c r="F37" s="21"/>
      <c r="G37" s="3" t="str">
        <f t="shared" si="0"/>
        <v/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0"/>
      <c r="F38" s="21"/>
      <c r="G38" s="3" t="str">
        <f t="shared" si="0"/>
        <v/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0"/>
      <c r="F39" s="21"/>
      <c r="G39" s="3" t="str">
        <f t="shared" si="0"/>
        <v/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0"/>
      <c r="F40" s="21"/>
      <c r="G40" s="3" t="str">
        <f t="shared" si="0"/>
        <v/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0"/>
      <c r="F41" s="21"/>
      <c r="G41" s="3" t="str">
        <f t="shared" si="0"/>
        <v/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20"/>
      <c r="F42" s="21"/>
      <c r="G42" s="3" t="str">
        <f t="shared" ref="G42:G73" si="1">IFERROR(VLOOKUP(E42,SL_Input,2,FALSE),"")</f>
        <v/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20"/>
      <c r="F43" s="21"/>
      <c r="G43" s="3" t="str">
        <f t="shared" si="1"/>
        <v/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20"/>
      <c r="F44" s="21"/>
      <c r="G44" s="3" t="str">
        <f t="shared" si="1"/>
        <v/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20"/>
      <c r="F45" s="21"/>
      <c r="G45" s="3" t="str">
        <f t="shared" si="1"/>
        <v/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20"/>
      <c r="F46" s="21"/>
      <c r="G46" s="3" t="str">
        <f t="shared" si="1"/>
        <v/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20"/>
      <c r="F47" s="21"/>
      <c r="G47" s="3" t="str">
        <f t="shared" si="1"/>
        <v/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20"/>
      <c r="F48" s="21"/>
      <c r="G48" s="3" t="str">
        <f t="shared" si="1"/>
        <v/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20"/>
      <c r="F49" s="21"/>
      <c r="G49" s="3" t="str">
        <f t="shared" si="1"/>
        <v/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20"/>
      <c r="F50" s="21"/>
      <c r="G50" s="3" t="str">
        <f t="shared" si="1"/>
        <v/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20"/>
      <c r="F51" s="21"/>
      <c r="G51" s="3" t="str">
        <f t="shared" si="1"/>
        <v/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20"/>
      <c r="F52" s="21"/>
      <c r="G52" s="3" t="str">
        <f t="shared" si="1"/>
        <v/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20"/>
      <c r="F53" s="21"/>
      <c r="G53" s="3" t="str">
        <f t="shared" si="1"/>
        <v/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20"/>
      <c r="F54" s="21"/>
      <c r="G54" s="3" t="str">
        <f t="shared" si="1"/>
        <v/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20"/>
      <c r="F55" s="21"/>
      <c r="G55" s="3" t="str">
        <f t="shared" si="1"/>
        <v/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20"/>
      <c r="F56" s="21"/>
      <c r="G56" s="3" t="str">
        <f t="shared" si="1"/>
        <v/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20"/>
      <c r="F57" s="21"/>
      <c r="G57" s="3" t="str">
        <f t="shared" si="1"/>
        <v/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20"/>
      <c r="F58" s="21"/>
      <c r="G58" s="3" t="str">
        <f t="shared" si="1"/>
        <v/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20"/>
      <c r="F59" s="21"/>
      <c r="G59" s="3" t="str">
        <f t="shared" si="1"/>
        <v/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20"/>
      <c r="F60" s="21"/>
      <c r="G60" s="3" t="str">
        <f t="shared" si="1"/>
        <v/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20"/>
      <c r="F61" s="21"/>
      <c r="G61" s="3" t="str">
        <f t="shared" si="1"/>
        <v/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20"/>
      <c r="F62" s="21"/>
      <c r="G62" s="3" t="str">
        <f t="shared" si="1"/>
        <v/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20"/>
      <c r="F63" s="21"/>
      <c r="G63" s="3" t="str">
        <f t="shared" si="1"/>
        <v/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20"/>
      <c r="F64" s="21"/>
      <c r="G64" s="3" t="str">
        <f t="shared" si="1"/>
        <v/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20"/>
      <c r="F65" s="21"/>
      <c r="G65" s="3" t="str">
        <f t="shared" si="1"/>
        <v/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20"/>
      <c r="F66" s="21"/>
      <c r="G66" s="3" t="str">
        <f t="shared" si="1"/>
        <v/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20"/>
      <c r="F67" s="21"/>
      <c r="G67" s="3" t="str">
        <f t="shared" si="1"/>
        <v/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20"/>
      <c r="F68" s="21"/>
      <c r="G68" s="3" t="str">
        <f t="shared" si="1"/>
        <v/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20"/>
      <c r="F69" s="21"/>
      <c r="G69" s="3" t="str">
        <f t="shared" si="1"/>
        <v/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20"/>
      <c r="F70" s="21"/>
      <c r="G70" s="3" t="str">
        <f t="shared" si="1"/>
        <v/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20"/>
      <c r="F71" s="21"/>
      <c r="G71" s="3" t="str">
        <f t="shared" si="1"/>
        <v/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20"/>
      <c r="F72" s="21"/>
      <c r="G72" s="3" t="str">
        <f t="shared" si="1"/>
        <v/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20"/>
      <c r="F73" s="21"/>
      <c r="G73" s="3" t="str">
        <f t="shared" si="1"/>
        <v/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20"/>
      <c r="F74" s="21"/>
      <c r="G74" s="3" t="str">
        <f t="shared" ref="G74:G105" si="2">IFERROR(VLOOKUP(E74,SL_Input,2,FALSE),"")</f>
        <v/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20"/>
      <c r="F75" s="21"/>
      <c r="G75" s="3" t="str">
        <f t="shared" si="2"/>
        <v/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20"/>
      <c r="F76" s="21"/>
      <c r="G76" s="3" t="str">
        <f t="shared" si="2"/>
        <v/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20"/>
      <c r="F77" s="21"/>
      <c r="G77" s="3" t="str">
        <f t="shared" si="2"/>
        <v/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20"/>
      <c r="F78" s="21"/>
      <c r="G78" s="3" t="str">
        <f t="shared" si="2"/>
        <v/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20"/>
      <c r="F79" s="21"/>
      <c r="G79" s="3" t="str">
        <f t="shared" si="2"/>
        <v/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20"/>
      <c r="F80" s="21"/>
      <c r="G80" s="3" t="str">
        <f t="shared" si="2"/>
        <v/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20"/>
      <c r="F81" s="21"/>
      <c r="G81" s="3" t="str">
        <f t="shared" si="2"/>
        <v/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20"/>
      <c r="F82" s="21"/>
      <c r="G82" s="3" t="str">
        <f t="shared" si="2"/>
        <v/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20"/>
      <c r="F83" s="21"/>
      <c r="G83" s="3" t="str">
        <f t="shared" si="2"/>
        <v/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20"/>
      <c r="F84" s="21"/>
      <c r="G84" s="3" t="str">
        <f t="shared" si="2"/>
        <v/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20"/>
      <c r="F85" s="21"/>
      <c r="G85" s="3" t="str">
        <f t="shared" si="2"/>
        <v/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20"/>
      <c r="F86" s="21"/>
      <c r="G86" s="3" t="str">
        <f t="shared" si="2"/>
        <v/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20"/>
      <c r="F87" s="21"/>
      <c r="G87" s="3" t="str">
        <f t="shared" si="2"/>
        <v/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20"/>
      <c r="F88" s="21"/>
      <c r="G88" s="3" t="str">
        <f t="shared" si="2"/>
        <v/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20"/>
      <c r="F89" s="21"/>
      <c r="G89" s="3" t="str">
        <f t="shared" si="2"/>
        <v/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20"/>
      <c r="F90" s="21"/>
      <c r="G90" s="3" t="str">
        <f t="shared" si="2"/>
        <v/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20"/>
      <c r="F91" s="21"/>
      <c r="G91" s="3" t="str">
        <f t="shared" si="2"/>
        <v/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20"/>
      <c r="F92" s="21"/>
      <c r="G92" s="3" t="str">
        <f t="shared" si="2"/>
        <v/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20"/>
      <c r="F93" s="21"/>
      <c r="G93" s="3" t="str">
        <f t="shared" si="2"/>
        <v/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20"/>
      <c r="F94" s="21"/>
      <c r="G94" s="3" t="str">
        <f t="shared" si="2"/>
        <v/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20"/>
      <c r="F95" s="21"/>
      <c r="G95" s="3" t="str">
        <f t="shared" si="2"/>
        <v/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20"/>
      <c r="F96" s="21"/>
      <c r="G96" s="3" t="str">
        <f t="shared" si="2"/>
        <v/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20"/>
      <c r="F97" s="21"/>
      <c r="G97" s="3" t="str">
        <f t="shared" si="2"/>
        <v/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20"/>
      <c r="F98" s="21"/>
      <c r="G98" s="3" t="str">
        <f t="shared" si="2"/>
        <v/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20"/>
      <c r="F99" s="21"/>
      <c r="G99" s="3" t="str">
        <f t="shared" si="2"/>
        <v/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20"/>
      <c r="F100" s="21"/>
      <c r="G100" s="3" t="str">
        <f t="shared" si="2"/>
        <v/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20"/>
      <c r="F101" s="21"/>
      <c r="G101" s="3" t="str">
        <f t="shared" si="2"/>
        <v/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20"/>
      <c r="F102" s="21"/>
      <c r="G102" s="3" t="str">
        <f t="shared" si="2"/>
        <v/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20"/>
      <c r="F103" s="21"/>
      <c r="G103" s="3" t="str">
        <f t="shared" si="2"/>
        <v/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20"/>
      <c r="F104" s="21"/>
      <c r="G104" s="3" t="str">
        <f t="shared" si="2"/>
        <v/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20"/>
      <c r="F105" s="21"/>
      <c r="G105" s="3" t="str">
        <f t="shared" si="2"/>
        <v/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20"/>
      <c r="F106" s="21"/>
      <c r="G106" s="3" t="str">
        <f t="shared" ref="G106:G137" si="3">IFERROR(VLOOKUP(E106,SL_Input,2,FALSE),"")</f>
        <v/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20"/>
      <c r="F107" s="21"/>
      <c r="G107" s="3" t="str">
        <f t="shared" si="3"/>
        <v/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20"/>
      <c r="F108" s="21"/>
      <c r="G108" s="3" t="str">
        <f t="shared" si="3"/>
        <v/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20"/>
      <c r="F109" s="21"/>
      <c r="G109" s="3" t="str">
        <f t="shared" si="3"/>
        <v/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20"/>
      <c r="F110" s="21"/>
      <c r="G110" s="3" t="str">
        <f t="shared" si="3"/>
        <v/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20"/>
      <c r="F111" s="21"/>
      <c r="G111" s="3" t="str">
        <f t="shared" si="3"/>
        <v/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20"/>
      <c r="F112" s="21"/>
      <c r="G112" s="3" t="str">
        <f t="shared" si="3"/>
        <v/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20"/>
      <c r="F113" s="21"/>
      <c r="G113" s="3" t="str">
        <f t="shared" si="3"/>
        <v/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20"/>
      <c r="F114" s="21"/>
      <c r="G114" s="3" t="str">
        <f t="shared" si="3"/>
        <v/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20"/>
      <c r="F115" s="21"/>
      <c r="G115" s="3" t="str">
        <f t="shared" si="3"/>
        <v/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20"/>
      <c r="F116" s="21"/>
      <c r="G116" s="3" t="str">
        <f t="shared" si="3"/>
        <v/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20"/>
      <c r="F117" s="21"/>
      <c r="G117" s="3" t="str">
        <f t="shared" si="3"/>
        <v/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20"/>
      <c r="F118" s="21"/>
      <c r="G118" s="3" t="str">
        <f t="shared" si="3"/>
        <v/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20"/>
      <c r="F119" s="21"/>
      <c r="G119" s="3" t="str">
        <f t="shared" si="3"/>
        <v/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20"/>
      <c r="F120" s="21"/>
      <c r="G120" s="3" t="str">
        <f t="shared" si="3"/>
        <v/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20"/>
      <c r="F121" s="21"/>
      <c r="G121" s="3" t="str">
        <f t="shared" si="3"/>
        <v/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20"/>
      <c r="F122" s="21"/>
      <c r="G122" s="3" t="str">
        <f t="shared" si="3"/>
        <v/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20"/>
      <c r="F123" s="21"/>
      <c r="G123" s="3" t="str">
        <f t="shared" si="3"/>
        <v/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20"/>
      <c r="F124" s="21"/>
      <c r="G124" s="3" t="str">
        <f t="shared" si="3"/>
        <v/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20"/>
      <c r="F125" s="21"/>
      <c r="G125" s="3" t="str">
        <f t="shared" si="3"/>
        <v/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20"/>
      <c r="F126" s="21"/>
      <c r="G126" s="3" t="str">
        <f t="shared" si="3"/>
        <v/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20"/>
      <c r="F127" s="21"/>
      <c r="G127" s="3" t="str">
        <f t="shared" si="3"/>
        <v/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20"/>
      <c r="F128" s="21"/>
      <c r="G128" s="3" t="str">
        <f t="shared" si="3"/>
        <v/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20"/>
      <c r="F129" s="21"/>
      <c r="G129" s="3" t="str">
        <f t="shared" si="3"/>
        <v/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20"/>
      <c r="F130" s="21"/>
      <c r="G130" s="3" t="str">
        <f t="shared" si="3"/>
        <v/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20"/>
      <c r="F131" s="21"/>
      <c r="G131" s="3" t="str">
        <f t="shared" si="3"/>
        <v/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20"/>
      <c r="F132" s="21"/>
      <c r="G132" s="3" t="str">
        <f t="shared" si="3"/>
        <v/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20"/>
      <c r="F133" s="21"/>
      <c r="G133" s="3" t="str">
        <f t="shared" si="3"/>
        <v/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20"/>
      <c r="F134" s="21"/>
      <c r="G134" s="3" t="str">
        <f t="shared" si="3"/>
        <v/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20"/>
      <c r="F135" s="21"/>
      <c r="G135" s="3" t="str">
        <f t="shared" si="3"/>
        <v/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20"/>
      <c r="F136" s="21"/>
      <c r="G136" s="3" t="str">
        <f t="shared" si="3"/>
        <v/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20"/>
      <c r="F137" s="21"/>
      <c r="G137" s="3" t="str">
        <f t="shared" si="3"/>
        <v/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20"/>
      <c r="F138" s="21"/>
      <c r="G138" s="3" t="str">
        <f t="shared" ref="G138:G169" si="4">IFERROR(VLOOKUP(E138,SL_Input,2,FALSE),"")</f>
        <v/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20"/>
      <c r="F139" s="21"/>
      <c r="G139" s="3" t="str">
        <f t="shared" si="4"/>
        <v/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20"/>
      <c r="F140" s="21"/>
      <c r="G140" s="3" t="str">
        <f t="shared" si="4"/>
        <v/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20"/>
      <c r="F141" s="21"/>
      <c r="G141" s="3" t="str">
        <f t="shared" si="4"/>
        <v/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20"/>
      <c r="F142" s="21"/>
      <c r="G142" s="3" t="str">
        <f t="shared" si="4"/>
        <v/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20"/>
      <c r="F143" s="21"/>
      <c r="G143" s="3" t="str">
        <f t="shared" si="4"/>
        <v/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20"/>
      <c r="F144" s="21"/>
      <c r="G144" s="3" t="str">
        <f t="shared" si="4"/>
        <v/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20"/>
      <c r="F145" s="21"/>
      <c r="G145" s="3" t="str">
        <f t="shared" si="4"/>
        <v/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20"/>
      <c r="F146" s="21"/>
      <c r="G146" s="3" t="str">
        <f t="shared" si="4"/>
        <v/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20"/>
      <c r="F147" s="21"/>
      <c r="G147" s="3" t="str">
        <f t="shared" si="4"/>
        <v/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20"/>
      <c r="F148" s="21"/>
      <c r="G148" s="3" t="str">
        <f t="shared" si="4"/>
        <v/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20"/>
      <c r="F149" s="21"/>
      <c r="G149" s="3" t="str">
        <f t="shared" si="4"/>
        <v/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20"/>
      <c r="F150" s="21"/>
      <c r="G150" s="3" t="str">
        <f t="shared" si="4"/>
        <v/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20"/>
      <c r="F151" s="21"/>
      <c r="G151" s="3" t="str">
        <f t="shared" si="4"/>
        <v/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20"/>
      <c r="F152" s="21"/>
      <c r="G152" s="3" t="str">
        <f t="shared" si="4"/>
        <v/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20"/>
      <c r="F153" s="21"/>
      <c r="G153" s="3" t="str">
        <f t="shared" si="4"/>
        <v/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20"/>
      <c r="F154" s="21"/>
      <c r="G154" s="3" t="str">
        <f t="shared" si="4"/>
        <v/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20"/>
      <c r="F155" s="21"/>
      <c r="G155" s="3" t="str">
        <f t="shared" si="4"/>
        <v/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20"/>
      <c r="F156" s="21"/>
      <c r="G156" s="3" t="str">
        <f t="shared" si="4"/>
        <v/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20"/>
      <c r="F157" s="21"/>
      <c r="G157" s="3" t="str">
        <f t="shared" si="4"/>
        <v/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20"/>
      <c r="F158" s="21"/>
      <c r="G158" s="3" t="str">
        <f t="shared" si="4"/>
        <v/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20"/>
      <c r="F159" s="21"/>
      <c r="G159" s="3" t="str">
        <f t="shared" si="4"/>
        <v/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20"/>
      <c r="F160" s="21"/>
      <c r="G160" s="3" t="str">
        <f t="shared" si="4"/>
        <v/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20"/>
      <c r="F161" s="21"/>
      <c r="G161" s="3" t="str">
        <f t="shared" si="4"/>
        <v/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20"/>
      <c r="F162" s="21"/>
      <c r="G162" s="3" t="str">
        <f t="shared" si="4"/>
        <v/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20"/>
      <c r="F163" s="21"/>
      <c r="G163" s="3" t="str">
        <f t="shared" si="4"/>
        <v/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20"/>
      <c r="F164" s="21"/>
      <c r="G164" s="3" t="str">
        <f t="shared" si="4"/>
        <v/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20"/>
      <c r="F165" s="21"/>
      <c r="G165" s="3" t="str">
        <f t="shared" si="4"/>
        <v/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20"/>
      <c r="F166" s="21"/>
      <c r="G166" s="3" t="str">
        <f t="shared" si="4"/>
        <v/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20"/>
      <c r="F167" s="21"/>
      <c r="G167" s="3" t="str">
        <f t="shared" si="4"/>
        <v/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20"/>
      <c r="F168" s="21"/>
      <c r="G168" s="3" t="str">
        <f t="shared" si="4"/>
        <v/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20"/>
      <c r="F169" s="21"/>
      <c r="G169" s="3" t="str">
        <f t="shared" si="4"/>
        <v/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20"/>
      <c r="F170" s="21"/>
      <c r="G170" s="3" t="str">
        <f t="shared" ref="G170:G200" si="5">IFERROR(VLOOKUP(E170,SL_Input,2,FALSE),"")</f>
        <v/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20"/>
      <c r="F171" s="21"/>
      <c r="G171" s="3" t="str">
        <f t="shared" si="5"/>
        <v/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20"/>
      <c r="F172" s="21"/>
      <c r="G172" s="3" t="str">
        <f t="shared" si="5"/>
        <v/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20"/>
      <c r="F173" s="21"/>
      <c r="G173" s="3" t="str">
        <f t="shared" si="5"/>
        <v/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20"/>
      <c r="F174" s="21"/>
      <c r="G174" s="3" t="str">
        <f t="shared" si="5"/>
        <v/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20"/>
      <c r="F175" s="21"/>
      <c r="G175" s="3" t="str">
        <f t="shared" si="5"/>
        <v/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20"/>
      <c r="F176" s="21"/>
      <c r="G176" s="3" t="str">
        <f t="shared" si="5"/>
        <v/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20"/>
      <c r="F177" s="21"/>
      <c r="G177" s="3" t="str">
        <f t="shared" si="5"/>
        <v/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20"/>
      <c r="F178" s="21"/>
      <c r="G178" s="3" t="str">
        <f t="shared" si="5"/>
        <v/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20"/>
      <c r="F179" s="21"/>
      <c r="G179" s="3" t="str">
        <f t="shared" si="5"/>
        <v/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20"/>
      <c r="F180" s="21"/>
      <c r="G180" s="3" t="str">
        <f t="shared" si="5"/>
        <v/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20"/>
      <c r="F181" s="21"/>
      <c r="G181" s="3" t="str">
        <f t="shared" si="5"/>
        <v/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20"/>
      <c r="F182" s="21"/>
      <c r="G182" s="3" t="str">
        <f t="shared" si="5"/>
        <v/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20"/>
      <c r="F183" s="21"/>
      <c r="G183" s="3" t="str">
        <f t="shared" si="5"/>
        <v/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20"/>
      <c r="F184" s="21"/>
      <c r="G184" s="3" t="str">
        <f t="shared" si="5"/>
        <v/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20"/>
      <c r="F185" s="21"/>
      <c r="G185" s="3" t="str">
        <f t="shared" si="5"/>
        <v/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20"/>
      <c r="F186" s="21"/>
      <c r="G186" s="3" t="str">
        <f t="shared" si="5"/>
        <v/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20"/>
      <c r="F187" s="21"/>
      <c r="G187" s="3" t="str">
        <f t="shared" si="5"/>
        <v/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20"/>
      <c r="F188" s="21"/>
      <c r="G188" s="3" t="str">
        <f t="shared" si="5"/>
        <v/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20"/>
      <c r="F189" s="21"/>
      <c r="G189" s="3" t="str">
        <f t="shared" si="5"/>
        <v/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20"/>
      <c r="F190" s="21"/>
      <c r="G190" s="3" t="str">
        <f t="shared" si="5"/>
        <v/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20"/>
      <c r="F191" s="21"/>
      <c r="G191" s="3" t="str">
        <f t="shared" si="5"/>
        <v/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20"/>
      <c r="F192" s="21"/>
      <c r="G192" s="3" t="str">
        <f t="shared" si="5"/>
        <v/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20"/>
      <c r="F193" s="21"/>
      <c r="G193" s="3" t="str">
        <f t="shared" si="5"/>
        <v/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20"/>
      <c r="F194" s="21"/>
      <c r="G194" s="3" t="str">
        <f t="shared" si="5"/>
        <v/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20"/>
      <c r="F195" s="21"/>
      <c r="G195" s="3" t="str">
        <f t="shared" si="5"/>
        <v/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20"/>
      <c r="F196" s="21"/>
      <c r="G196" s="3" t="str">
        <f t="shared" si="5"/>
        <v/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20"/>
      <c r="F197" s="21"/>
      <c r="G197" s="3" t="str">
        <f t="shared" si="5"/>
        <v/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20"/>
      <c r="F198" s="21"/>
      <c r="G198" s="3" t="str">
        <f t="shared" si="5"/>
        <v/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20"/>
      <c r="F199" s="21"/>
      <c r="G199" s="3" t="str">
        <f t="shared" si="5"/>
        <v/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24"/>
      <c r="B200" s="22"/>
      <c r="C200" s="22"/>
      <c r="D200" s="22"/>
      <c r="E200" s="22"/>
      <c r="F200" s="23"/>
      <c r="G200" s="3" t="str">
        <f t="shared" si="5"/>
        <v/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 t="s">
        <v>16</v>
      </c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</sheetData>
  <sheetProtection sheet="1" objects="1" scenarios="1"/>
  <protectedRanges>
    <protectedRange sqref="A10:F200" name="Project List"/>
    <protectedRange sqref="I10:I200" name="Cat Colors"/>
    <protectedRange sqref="O8" name="Font"/>
    <protectedRange sqref="P15:P34" name="Swim Order"/>
  </protectedRanges>
  <sortState xmlns:xlrd2="http://schemas.microsoft.com/office/spreadsheetml/2017/richdata2" ref="A10:F31">
    <sortCondition ref="C10:C31"/>
  </sortState>
  <dataValidations count="1">
    <dataValidation type="list" allowBlank="1" showInputMessage="1" showErrorMessage="1" sqref="P15:P34" xr:uid="{12F77593-B3DB-4234-8F97-307E52D4EC4E}">
      <formula1>SL_Filter</formula1>
    </dataValidation>
  </dataValidations>
  <pageMargins left="0.7" right="0.7" top="0.75" bottom="0.75" header="0.3" footer="0.3"/>
  <pageSetup scale="2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A698-E5B2-4C11-92C9-802235A404EA}">
  <dimension ref="A1:AD40"/>
  <sheetViews>
    <sheetView workbookViewId="0">
      <selection activeCell="P6" sqref="P6"/>
    </sheetView>
  </sheetViews>
  <sheetFormatPr defaultColWidth="0" defaultRowHeight="15" x14ac:dyDescent="0.25"/>
  <cols>
    <col min="1" max="2" width="4.5703125" style="3" customWidth="1"/>
    <col min="3" max="3" width="6.28515625" style="3" customWidth="1"/>
    <col min="4" max="4" width="10.85546875" style="27" customWidth="1"/>
    <col min="5" max="28" width="17" customWidth="1"/>
    <col min="29" max="30" width="9.140625" style="3" customWidth="1"/>
    <col min="31" max="16384" width="9.140625" hidden="1"/>
  </cols>
  <sheetData>
    <row r="1" spans="1:28" s="3" customFormat="1" x14ac:dyDescent="0.25">
      <c r="A1" s="19" t="s">
        <v>83</v>
      </c>
      <c r="D1" s="26"/>
    </row>
    <row r="2" spans="1:28" s="3" customFormat="1" x14ac:dyDescent="0.25">
      <c r="D2" s="26"/>
    </row>
    <row r="3" spans="1:28" s="3" customFormat="1" ht="15.75" thickBot="1" x14ac:dyDescent="0.3">
      <c r="D3" s="26"/>
    </row>
    <row r="4" spans="1:28" ht="19.5" thickBot="1" x14ac:dyDescent="0.3">
      <c r="D4" s="26"/>
      <c r="E4" s="55" t="s">
        <v>17</v>
      </c>
      <c r="F4" s="53"/>
      <c r="G4" s="53"/>
      <c r="H4" s="54"/>
      <c r="I4" s="55" t="s">
        <v>18</v>
      </c>
      <c r="J4" s="53"/>
      <c r="K4" s="53"/>
      <c r="L4" s="54"/>
      <c r="M4" s="55" t="s">
        <v>19</v>
      </c>
      <c r="N4" s="53"/>
      <c r="O4" s="53"/>
      <c r="P4" s="54"/>
      <c r="Q4" s="52" t="s">
        <v>20</v>
      </c>
      <c r="R4" s="53"/>
      <c r="S4" s="53"/>
      <c r="T4" s="54"/>
      <c r="U4" s="52" t="s">
        <v>21</v>
      </c>
      <c r="V4" s="53"/>
      <c r="W4" s="53"/>
      <c r="X4" s="54"/>
      <c r="Y4" s="52" t="s">
        <v>22</v>
      </c>
      <c r="Z4" s="53"/>
      <c r="AA4" s="53"/>
      <c r="AB4" s="54"/>
    </row>
    <row r="5" spans="1:28" ht="15.75" thickTop="1" x14ac:dyDescent="0.25">
      <c r="D5" s="26"/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33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ht="18" customHeight="1" x14ac:dyDescent="0.25">
      <c r="C6" s="3" t="s">
        <v>10</v>
      </c>
      <c r="D6" s="26"/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5" t="s">
        <v>56</v>
      </c>
      <c r="O6" s="5" t="s">
        <v>57</v>
      </c>
      <c r="P6" s="5" t="s">
        <v>58</v>
      </c>
      <c r="Q6" s="5" t="s">
        <v>55</v>
      </c>
      <c r="R6" s="5" t="s">
        <v>56</v>
      </c>
      <c r="S6" s="5" t="s">
        <v>57</v>
      </c>
      <c r="T6" s="5" t="s">
        <v>58</v>
      </c>
      <c r="U6" s="9" t="s">
        <v>59</v>
      </c>
      <c r="V6" s="9" t="s">
        <v>60</v>
      </c>
      <c r="W6" s="9" t="s">
        <v>61</v>
      </c>
      <c r="X6" s="9" t="s">
        <v>62</v>
      </c>
      <c r="Y6" s="9" t="s">
        <v>63</v>
      </c>
      <c r="Z6" s="9" t="s">
        <v>64</v>
      </c>
      <c r="AA6" s="9" t="s">
        <v>65</v>
      </c>
      <c r="AB6" s="9" t="s">
        <v>66</v>
      </c>
    </row>
    <row r="7" spans="1:28" ht="36" customHeight="1" x14ac:dyDescent="0.25">
      <c r="C7" s="3">
        <v>1</v>
      </c>
      <c r="D7" s="49" t="s">
        <v>90</v>
      </c>
      <c r="E7" s="35"/>
      <c r="F7" s="29"/>
      <c r="G7" s="29"/>
      <c r="H7" s="29"/>
      <c r="I7" s="29"/>
      <c r="J7" s="29"/>
      <c r="K7" s="29"/>
      <c r="L7" s="29"/>
      <c r="M7" s="29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1"/>
    </row>
    <row r="8" spans="1:28" ht="36" customHeight="1" x14ac:dyDescent="0.25">
      <c r="C8" s="3">
        <v>2</v>
      </c>
      <c r="D8" s="50"/>
      <c r="E8" s="36"/>
      <c r="F8" s="6"/>
      <c r="G8" s="6"/>
      <c r="H8" s="6"/>
      <c r="I8" s="6"/>
      <c r="J8" s="6"/>
      <c r="K8" s="6"/>
      <c r="L8" s="6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28"/>
    </row>
    <row r="9" spans="1:28" ht="36" customHeight="1" x14ac:dyDescent="0.25">
      <c r="C9" s="3">
        <v>3</v>
      </c>
      <c r="D9" s="49" t="s">
        <v>85</v>
      </c>
      <c r="E9" s="35"/>
      <c r="F9" s="29"/>
      <c r="G9" s="29"/>
      <c r="H9" s="29"/>
      <c r="I9" s="29"/>
      <c r="J9" s="29"/>
      <c r="K9" s="29"/>
      <c r="L9" s="29"/>
      <c r="M9" s="29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1"/>
    </row>
    <row r="10" spans="1:28" ht="36" customHeight="1" x14ac:dyDescent="0.25">
      <c r="C10" s="3">
        <v>4</v>
      </c>
      <c r="D10" s="51"/>
      <c r="E10" s="37"/>
      <c r="F10" s="32"/>
      <c r="G10" s="32"/>
      <c r="H10" s="32"/>
      <c r="I10" s="32"/>
      <c r="J10" s="32"/>
      <c r="K10" s="32"/>
      <c r="L10" s="32"/>
      <c r="M10" s="32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4"/>
    </row>
    <row r="11" spans="1:28" ht="36" customHeight="1" x14ac:dyDescent="0.25">
      <c r="C11" s="3">
        <v>5</v>
      </c>
      <c r="D11" s="43"/>
      <c r="E11" s="36"/>
      <c r="F11" s="6"/>
      <c r="G11" s="6"/>
      <c r="H11" s="6"/>
      <c r="I11" s="6"/>
      <c r="J11" s="6"/>
      <c r="K11" s="6"/>
      <c r="L11" s="6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28"/>
    </row>
    <row r="12" spans="1:28" ht="36" customHeight="1" x14ac:dyDescent="0.25">
      <c r="C12" s="3">
        <v>6</v>
      </c>
      <c r="D12" s="43"/>
      <c r="E12" s="36"/>
      <c r="F12" s="6"/>
      <c r="G12" s="6"/>
      <c r="H12" s="6"/>
      <c r="I12" s="6"/>
      <c r="J12" s="6"/>
      <c r="K12" s="6"/>
      <c r="L12" s="6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28"/>
    </row>
    <row r="13" spans="1:28" ht="36" customHeight="1" x14ac:dyDescent="0.25">
      <c r="C13" s="3">
        <v>7</v>
      </c>
      <c r="D13" s="43"/>
      <c r="E13" s="36"/>
      <c r="F13" s="6"/>
      <c r="G13" s="6"/>
      <c r="H13" s="6"/>
      <c r="I13" s="6"/>
      <c r="J13" s="6"/>
      <c r="K13" s="6"/>
      <c r="L13" s="6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28"/>
    </row>
    <row r="14" spans="1:28" ht="36" customHeight="1" x14ac:dyDescent="0.25">
      <c r="C14" s="3">
        <v>8</v>
      </c>
      <c r="D14" s="43"/>
      <c r="E14" s="36"/>
      <c r="F14" s="6"/>
      <c r="G14" s="6"/>
      <c r="H14" s="6"/>
      <c r="I14" s="6"/>
      <c r="J14" s="6"/>
      <c r="K14" s="6"/>
      <c r="L14" s="6"/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28"/>
    </row>
    <row r="15" spans="1:28" ht="36" customHeight="1" x14ac:dyDescent="0.25">
      <c r="C15" s="3">
        <v>9</v>
      </c>
      <c r="D15" s="43"/>
      <c r="E15" s="36"/>
      <c r="F15" s="6"/>
      <c r="G15" s="6"/>
      <c r="H15" s="6"/>
      <c r="I15" s="6"/>
      <c r="J15" s="6"/>
      <c r="K15" s="6"/>
      <c r="L15" s="6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28"/>
    </row>
    <row r="16" spans="1:28" ht="36" customHeight="1" x14ac:dyDescent="0.25">
      <c r="C16" s="3">
        <v>10</v>
      </c>
      <c r="D16" s="43"/>
      <c r="E16" s="36"/>
      <c r="F16" s="6"/>
      <c r="G16" s="6"/>
      <c r="H16" s="6"/>
      <c r="I16" s="6"/>
      <c r="J16" s="6"/>
      <c r="K16" s="6"/>
      <c r="L16" s="6"/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28"/>
    </row>
    <row r="17" spans="3:28" ht="36" customHeight="1" x14ac:dyDescent="0.25">
      <c r="C17" s="3">
        <v>11</v>
      </c>
      <c r="D17" s="43"/>
      <c r="E17" s="36"/>
      <c r="F17" s="6"/>
      <c r="G17" s="6"/>
      <c r="H17" s="6"/>
      <c r="I17" s="6"/>
      <c r="J17" s="6"/>
      <c r="K17" s="6"/>
      <c r="L17" s="6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8"/>
    </row>
    <row r="18" spans="3:28" ht="36" customHeight="1" x14ac:dyDescent="0.25">
      <c r="C18" s="3">
        <v>12</v>
      </c>
      <c r="D18" s="43"/>
      <c r="E18" s="3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28"/>
    </row>
    <row r="19" spans="3:28" ht="36" customHeight="1" x14ac:dyDescent="0.25">
      <c r="C19" s="3">
        <v>13</v>
      </c>
      <c r="D19" s="44"/>
      <c r="E19" s="3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3:28" ht="36" customHeight="1" x14ac:dyDescent="0.25">
      <c r="C20" s="3">
        <v>14</v>
      </c>
      <c r="D20" s="44"/>
      <c r="E20" s="36"/>
      <c r="F20" s="6"/>
      <c r="G20" s="6"/>
      <c r="H20" s="6"/>
      <c r="I20" s="6"/>
      <c r="J20" s="6"/>
      <c r="K20" s="6"/>
      <c r="L20" s="6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3:28" ht="36" customHeight="1" x14ac:dyDescent="0.25">
      <c r="C21" s="3">
        <v>15</v>
      </c>
      <c r="D21" s="44"/>
      <c r="E21" s="36"/>
      <c r="F21" s="6"/>
      <c r="G21" s="6"/>
      <c r="H21" s="6"/>
      <c r="I21" s="6"/>
      <c r="J21" s="6"/>
      <c r="K21" s="6"/>
      <c r="L21" s="6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3:28" ht="36" customHeight="1" x14ac:dyDescent="0.25">
      <c r="C22" s="3">
        <v>16</v>
      </c>
      <c r="D22" s="44"/>
      <c r="E22" s="36"/>
      <c r="F22" s="6"/>
      <c r="G22" s="6"/>
      <c r="H22" s="6"/>
      <c r="I22" s="6"/>
      <c r="J22" s="6"/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3:28" ht="36" customHeight="1" x14ac:dyDescent="0.25">
      <c r="C23" s="3">
        <v>17</v>
      </c>
      <c r="D23" s="44"/>
      <c r="E23" s="36"/>
      <c r="F23" s="6"/>
      <c r="G23" s="6"/>
      <c r="H23" s="6"/>
      <c r="I23" s="6"/>
      <c r="J23" s="6"/>
      <c r="K23" s="6"/>
      <c r="L23" s="6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3:28" ht="36" customHeight="1" x14ac:dyDescent="0.25">
      <c r="C24" s="3">
        <v>18</v>
      </c>
      <c r="D24" s="44"/>
      <c r="E24" s="36"/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3:28" ht="36" customHeight="1" x14ac:dyDescent="0.25">
      <c r="C25" s="3">
        <v>19</v>
      </c>
      <c r="D25" s="44"/>
      <c r="E25" s="36"/>
      <c r="F25" s="6"/>
      <c r="G25" s="6"/>
      <c r="H25" s="6"/>
      <c r="I25" s="6"/>
      <c r="J25" s="6"/>
      <c r="K25" s="6"/>
      <c r="L25" s="6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3:28" ht="36" customHeight="1" x14ac:dyDescent="0.25">
      <c r="C26" s="3">
        <v>20</v>
      </c>
      <c r="D26" s="44"/>
      <c r="E26" s="36"/>
      <c r="F26" s="6"/>
      <c r="G26" s="6"/>
      <c r="H26" s="6"/>
      <c r="I26" s="6"/>
      <c r="J26" s="6"/>
      <c r="K26" s="6"/>
      <c r="L26" s="6"/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3:28" ht="36" customHeight="1" x14ac:dyDescent="0.25">
      <c r="C27" s="3">
        <v>21</v>
      </c>
      <c r="D27" s="44"/>
      <c r="E27" s="36"/>
      <c r="F27" s="6"/>
      <c r="G27" s="6"/>
      <c r="H27" s="6"/>
      <c r="I27" s="6"/>
      <c r="J27" s="6"/>
      <c r="K27" s="6"/>
      <c r="L27" s="6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3:28" ht="36" customHeight="1" x14ac:dyDescent="0.25">
      <c r="C28" s="3">
        <v>22</v>
      </c>
      <c r="D28" s="44"/>
      <c r="E28" s="3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3:28" ht="36" customHeight="1" x14ac:dyDescent="0.25">
      <c r="C29" s="3">
        <v>23</v>
      </c>
      <c r="D29" s="44"/>
      <c r="E29" s="36"/>
      <c r="F29" s="6"/>
      <c r="G29" s="6"/>
      <c r="H29" s="6"/>
      <c r="I29" s="6"/>
      <c r="J29" s="6"/>
      <c r="K29" s="6"/>
      <c r="L29" s="6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3:28" ht="36" customHeight="1" x14ac:dyDescent="0.25">
      <c r="C30" s="3">
        <v>24</v>
      </c>
      <c r="D30" s="44"/>
      <c r="E30" s="36"/>
      <c r="F30" s="6"/>
      <c r="G30" s="6"/>
      <c r="H30" s="6"/>
      <c r="I30" s="6"/>
      <c r="J30" s="6"/>
      <c r="K30" s="6"/>
      <c r="L30" s="6"/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3:28" ht="36" customHeight="1" x14ac:dyDescent="0.25">
      <c r="C31" s="3">
        <v>25</v>
      </c>
      <c r="D31" s="44"/>
      <c r="E31" s="3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3:28" ht="36" customHeight="1" x14ac:dyDescent="0.25">
      <c r="C32" s="3">
        <v>26</v>
      </c>
      <c r="D32" s="44"/>
      <c r="E32" s="36"/>
      <c r="F32" s="6"/>
      <c r="G32" s="6"/>
      <c r="H32" s="6"/>
      <c r="I32" s="6"/>
      <c r="J32" s="6"/>
      <c r="K32" s="6"/>
      <c r="L32" s="6"/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3:28" ht="36" customHeight="1" x14ac:dyDescent="0.25">
      <c r="C33" s="3">
        <v>27</v>
      </c>
      <c r="D33" s="44"/>
      <c r="E33" s="36"/>
      <c r="F33" s="6"/>
      <c r="G33" s="6"/>
      <c r="H33" s="6"/>
      <c r="I33" s="6"/>
      <c r="J33" s="6"/>
      <c r="K33" s="6"/>
      <c r="L33" s="6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3:28" ht="36" customHeight="1" x14ac:dyDescent="0.25">
      <c r="C34" s="3">
        <v>28</v>
      </c>
      <c r="D34" s="44"/>
      <c r="E34" s="36"/>
      <c r="F34" s="6"/>
      <c r="G34" s="6"/>
      <c r="H34" s="6"/>
      <c r="I34" s="6"/>
      <c r="J34" s="6"/>
      <c r="K34" s="6"/>
      <c r="L34" s="6"/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3:28" ht="36" customHeight="1" x14ac:dyDescent="0.25">
      <c r="C35" s="3">
        <v>29</v>
      </c>
      <c r="D35" s="44"/>
      <c r="E35" s="36"/>
      <c r="F35" s="6"/>
      <c r="G35" s="6"/>
      <c r="H35" s="6"/>
      <c r="I35" s="6"/>
      <c r="J35" s="6"/>
      <c r="K35" s="6"/>
      <c r="L35" s="6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3:28" ht="36" customHeight="1" x14ac:dyDescent="0.25">
      <c r="C36" s="3">
        <v>30</v>
      </c>
      <c r="D36" s="44"/>
      <c r="E36" s="36"/>
      <c r="F36" s="6"/>
      <c r="G36" s="6"/>
      <c r="H36" s="6"/>
      <c r="I36" s="6"/>
      <c r="J36" s="6"/>
      <c r="K36" s="6"/>
      <c r="L36" s="6"/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3:28" s="3" customFormat="1" x14ac:dyDescent="0.25">
      <c r="D37" s="26"/>
    </row>
    <row r="38" spans="3:28" s="3" customFormat="1" x14ac:dyDescent="0.25">
      <c r="D38" s="26"/>
    </row>
    <row r="39" spans="3:28" s="3" customFormat="1" x14ac:dyDescent="0.25">
      <c r="D39" s="26"/>
    </row>
    <row r="40" spans="3:28" s="3" customFormat="1" x14ac:dyDescent="0.25">
      <c r="D40" s="26"/>
    </row>
  </sheetData>
  <protectedRanges>
    <protectedRange sqref="D7:D36" name="Swimlanes"/>
  </protectedRanges>
  <mergeCells count="8">
    <mergeCell ref="D7:D8"/>
    <mergeCell ref="D9:D10"/>
    <mergeCell ref="Q4:T4"/>
    <mergeCell ref="U4:X4"/>
    <mergeCell ref="Y4:AB4"/>
    <mergeCell ref="I4:L4"/>
    <mergeCell ref="M4:P4"/>
    <mergeCell ref="E4:H4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58C9-5C58-431D-9A71-2EF5FFFFCD18}">
  <dimension ref="B4:D9"/>
  <sheetViews>
    <sheetView workbookViewId="0">
      <selection activeCell="C18" sqref="C18"/>
    </sheetView>
  </sheetViews>
  <sheetFormatPr defaultRowHeight="15" x14ac:dyDescent="0.25"/>
  <cols>
    <col min="2" max="2" width="11.7109375" customWidth="1"/>
    <col min="3" max="3" width="47" bestFit="1" customWidth="1"/>
    <col min="4" max="4" width="11.7109375" style="11" customWidth="1"/>
  </cols>
  <sheetData>
    <row r="4" spans="2:4" x14ac:dyDescent="0.25">
      <c r="B4" s="8" t="s">
        <v>67</v>
      </c>
      <c r="C4" s="8" t="s">
        <v>68</v>
      </c>
      <c r="D4" s="10" t="s">
        <v>69</v>
      </c>
    </row>
    <row r="5" spans="2:4" x14ac:dyDescent="0.25">
      <c r="B5" s="12">
        <v>45399</v>
      </c>
      <c r="C5" t="s">
        <v>70</v>
      </c>
      <c r="D5" s="11">
        <v>1</v>
      </c>
    </row>
    <row r="6" spans="2:4" x14ac:dyDescent="0.25">
      <c r="B6" s="12">
        <v>45400</v>
      </c>
      <c r="C6" t="s">
        <v>71</v>
      </c>
      <c r="D6" s="11">
        <v>2</v>
      </c>
    </row>
    <row r="7" spans="2:4" x14ac:dyDescent="0.25">
      <c r="B7" s="12">
        <v>45401</v>
      </c>
      <c r="C7" t="s">
        <v>72</v>
      </c>
      <c r="D7" s="11">
        <v>2.1</v>
      </c>
    </row>
    <row r="8" spans="2:4" x14ac:dyDescent="0.25">
      <c r="B8" s="12">
        <v>45614</v>
      </c>
      <c r="C8" t="s">
        <v>113</v>
      </c>
      <c r="D8" s="11">
        <v>3</v>
      </c>
    </row>
    <row r="9" spans="2:4" x14ac:dyDescent="0.25">
      <c r="B9" s="12">
        <v>45621</v>
      </c>
      <c r="C9" t="s">
        <v>114</v>
      </c>
      <c r="D9" s="1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54B08944F1044943BAC2A65B1AE10" ma:contentTypeVersion="13" ma:contentTypeDescription="Create a new document." ma:contentTypeScope="" ma:versionID="4850e7a2997722828757576acd47dd8b">
  <xsd:schema xmlns:xsd="http://www.w3.org/2001/XMLSchema" xmlns:xs="http://www.w3.org/2001/XMLSchema" xmlns:p="http://schemas.microsoft.com/office/2006/metadata/properties" xmlns:ns3="7c85eaad-fcd3-45dc-aac9-399d561de2c2" xmlns:ns4="5b80dda2-a8ca-47e6-9a3a-82dcd57f7ec4" targetNamespace="http://schemas.microsoft.com/office/2006/metadata/properties" ma:root="true" ma:fieldsID="ff1fe1fa81719b94c2b2837f7e4d0e1e" ns3:_="" ns4:_="">
    <xsd:import namespace="7c85eaad-fcd3-45dc-aac9-399d561de2c2"/>
    <xsd:import namespace="5b80dda2-a8ca-47e6-9a3a-82dcd57f7e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5eaad-fcd3-45dc-aac9-399d561de2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0dda2-a8ca-47e6-9a3a-82dcd57f7e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id="ms-officescript%3A%2F%2Fonedrive_business_itemlink%2F01VVOMVM3VK7SNIEKXBRGI25X3XBOMFQYQ:ms-officescript%3A%2F%2Fonedrive_business_sharinglink%2Fu!aHR0cHM6Ly9lYnNjb2luZC1teS5zaGFyZXBvaW50LmNvbS86dTovZy9wZXJzb25hbC9lbGFya2luX2NvcnBfZXBuZXRfY29tL0VYVlg1TlFSVnd4TWpYYjd1RnpDd3hBQmJzcEpJZjBhdkhLQy1OUHF2cENrWXc"/>
  <scriptId xmlns="" id="ms-officescript%3A%2F%2Fonedrive_business_itemlink%2F01VVOMVM5SQJXC6PBCJJCIO2XTXBV7RGDO:ms-officescript%3A%2F%2Fonedrive_business_sharinglink%2Fu!aHR0cHM6Ly9lYnNjb2luZC1teS5zaGFyZXBvaW50LmNvbS86dTovZy9wZXJzb25hbC9lbGFya2luX2NvcnBfZXBuZXRfY29tL0ViS0NiaTg4SWtwRWgycnp1R3Y0bUc0QjF5WnZwN2tlRk5WNllHSklNaWlEN2c"/>
  <scriptId xmlns="" id="ms-officescript%3A%2F%2Fonedrive_business_itemlink%2F01VVOMVM6JUFWBO7OVFZFJSOOSRS5BW77B:ms-officescript%3A%2F%2Fonedrive_business_sharinglink%2Fu!aHR0cHM6Ly9lYnNjb2luZC1teS5zaGFyZXBvaW50LmNvbS86dTovZy9wZXJzb25hbC9lbGFya2luX2NvcnBfZXBuZXRfY29tL0VjbWhiQmQ5MVM1S21UblNqTG9iZi1FQlNXTk9WYzI4MUtuWUxuc0NXdHhScXc"/>
  <scriptId xmlns="" id="ms-officescript%3A%2F%2Fonedrive_business_itemlink%2F01VVOMVM4EPVPJM7TVJVD3HO7E3EFIIGS2:ms-officescript%3A%2F%2Fonedrive_business_sharinglink%2Fu!aHR0cHM6Ly9lYnNjb2luZC1teS5zaGFyZXBvaW50LmNvbS86dTovZy9wZXJzb25hbC9lbGFya2luX2NvcnBfZXBuZXRfY29tL0VZUjlYcFotZFUxSHM3dmsyUXFFR2xvQlVMYU1mcVBKcURYNFBqdlNpa2VuZkE"/>
</scriptId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85eaad-fcd3-45dc-aac9-399d561de2c2" xsi:nil="true"/>
  </documentManagement>
</p:properties>
</file>

<file path=customXml/itemProps1.xml><?xml version="1.0" encoding="utf-8"?>
<ds:datastoreItem xmlns:ds="http://schemas.openxmlformats.org/officeDocument/2006/customXml" ds:itemID="{01BF165C-F208-49A1-9D3E-2DD13877F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85eaad-fcd3-45dc-aac9-399d561de2c2"/>
    <ds:schemaRef ds:uri="5b80dda2-a8ca-47e6-9a3a-82dcd57f7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7DAB19-142F-49F1-90BE-4C2499CC9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4DC565-A696-4C62-9604-0B4A6473AD87}">
  <ds:schemaRefs>
    <ds:schemaRef ds:uri="http://schemas.microsoft.com/office/extensibility/maker/v1.0"/>
    <ds:schemaRef ds:uri=""/>
  </ds:schemaRefs>
</ds:datastoreItem>
</file>

<file path=customXml/itemProps4.xml><?xml version="1.0" encoding="utf-8"?>
<ds:datastoreItem xmlns:ds="http://schemas.openxmlformats.org/officeDocument/2006/customXml" ds:itemID="{88C1ABF8-4E03-4359-8E45-7619CFBCFECA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5b80dda2-a8ca-47e6-9a3a-82dcd57f7ec4"/>
    <ds:schemaRef ds:uri="http://schemas.openxmlformats.org/package/2006/metadata/core-properties"/>
    <ds:schemaRef ds:uri="7c85eaad-fcd3-45dc-aac9-399d561de2c2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0fa36ca-7dd3-44f1-9e3f-1bf39a3963a5}" enabled="0" method="" siteId="{50fa36ca-7dd3-44f1-9e3f-1bf39a3963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Instructions</vt:lpstr>
      <vt:lpstr>Input</vt:lpstr>
      <vt:lpstr>Roadmap</vt:lpstr>
      <vt:lpstr>Change Log</vt:lpstr>
      <vt:lpstr>Category</vt:lpstr>
      <vt:lpstr>Color_Code</vt:lpstr>
      <vt:lpstr>Font</vt:lpstr>
      <vt:lpstr>Input</vt:lpstr>
      <vt:lpstr>SL_Filter</vt:lpstr>
      <vt:lpstr>SL_Input</vt:lpstr>
      <vt:lpstr>SL_Order</vt:lpstr>
      <vt:lpstr>SL_Unique</vt:lpstr>
      <vt:lpstr>SL_Unique_Count</vt:lpstr>
      <vt:lpstr>Swimlane</vt:lpstr>
      <vt:lpstr>SwimNames</vt:lpstr>
      <vt:lpstr>Whole_Roadmap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Edrick Larkin</dc:creator>
  <cp:keywords/>
  <dc:description/>
  <cp:lastModifiedBy>Edrick Larkin</cp:lastModifiedBy>
  <cp:revision/>
  <dcterms:created xsi:type="dcterms:W3CDTF">2024-04-17T19:49:21Z</dcterms:created>
  <dcterms:modified xsi:type="dcterms:W3CDTF">2024-11-25T16:31:09Z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0x01010012C54B08944F1044943BAC2A65B1AE10</vt:lpwstr>
  </property>
</Properties>
</file>